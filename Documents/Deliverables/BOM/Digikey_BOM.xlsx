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D:\eSpark\FranciscoGimenez-HCDSHardware\Documents\Deliverables\BOM\"/>
    </mc:Choice>
  </mc:AlternateContent>
  <xr:revisionPtr revIDLastSave="0" documentId="13_ncr:1_{9666C967-82A3-4C5A-A546-06CDD849E73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35" i="2" l="1"/>
  <c r="N34" i="2"/>
  <c r="N33" i="2"/>
  <c r="N32" i="2"/>
  <c r="N31" i="2"/>
  <c r="N30" i="2"/>
  <c r="N28" i="2"/>
  <c r="N29" i="2"/>
  <c r="P27" i="2"/>
  <c r="N27" i="2"/>
  <c r="N26" i="2"/>
  <c r="N25" i="2"/>
  <c r="P24" i="2"/>
  <c r="N24" i="2"/>
  <c r="N23" i="2"/>
  <c r="K23" i="2"/>
  <c r="P23" i="2" s="1"/>
  <c r="K24" i="2"/>
  <c r="K25" i="2"/>
  <c r="P25" i="2" s="1"/>
  <c r="K26" i="2"/>
  <c r="P26" i="2" s="1"/>
  <c r="K27" i="2"/>
  <c r="K28" i="2"/>
  <c r="P28" i="2" s="1"/>
  <c r="K29" i="2"/>
  <c r="P29" i="2" s="1"/>
  <c r="K30" i="2"/>
  <c r="P30" i="2" s="1"/>
  <c r="K31" i="2"/>
  <c r="P31" i="2" s="1"/>
  <c r="K32" i="2"/>
  <c r="P32" i="2" s="1"/>
  <c r="K33" i="2"/>
  <c r="P33" i="2" s="1"/>
  <c r="K34" i="2"/>
  <c r="P34" i="2" s="1"/>
  <c r="K35" i="2"/>
  <c r="P35" i="2" s="1"/>
  <c r="K59" i="2"/>
  <c r="K58" i="2"/>
  <c r="K57" i="2"/>
  <c r="K56" i="2"/>
  <c r="K55" i="2"/>
  <c r="K54" i="2"/>
  <c r="K53" i="2"/>
  <c r="K52" i="2"/>
  <c r="K51" i="2"/>
  <c r="N50" i="2"/>
  <c r="K50" i="2"/>
  <c r="P50" i="2" s="1"/>
  <c r="N49" i="2"/>
  <c r="K49" i="2"/>
  <c r="P49" i="2" s="1"/>
  <c r="N48" i="2"/>
  <c r="K48" i="2"/>
  <c r="P48" i="2" s="1"/>
  <c r="N47" i="2"/>
  <c r="K47" i="2"/>
  <c r="P47" i="2" s="1"/>
  <c r="N46" i="2"/>
  <c r="K46" i="2"/>
  <c r="P46" i="2" s="1"/>
  <c r="N43" i="2"/>
  <c r="K43" i="2"/>
  <c r="P43" i="2" s="1"/>
  <c r="N45" i="2"/>
  <c r="K45" i="2"/>
  <c r="P45" i="2" s="1"/>
  <c r="N44" i="2"/>
  <c r="K44" i="2"/>
  <c r="P44" i="2" s="1"/>
  <c r="N42" i="2"/>
  <c r="K42" i="2"/>
  <c r="P42" i="2" s="1"/>
  <c r="N41" i="2"/>
  <c r="K41" i="2"/>
  <c r="P41" i="2" s="1"/>
  <c r="N40" i="2"/>
  <c r="K40" i="2"/>
  <c r="P40" i="2" s="1"/>
  <c r="N38" i="2"/>
  <c r="K38" i="2"/>
  <c r="P38" i="2" s="1"/>
  <c r="N39" i="2"/>
  <c r="K39" i="2"/>
  <c r="P39" i="2" s="1"/>
  <c r="N37" i="2"/>
  <c r="K37" i="2"/>
  <c r="P37" i="2" s="1"/>
  <c r="N36" i="2"/>
  <c r="K36" i="2"/>
  <c r="P36" i="2" s="1"/>
  <c r="N21" i="2"/>
  <c r="K21" i="2"/>
  <c r="P21" i="2" s="1"/>
  <c r="N22" i="2"/>
  <c r="K22" i="2"/>
  <c r="P22" i="2" s="1"/>
  <c r="N20" i="2"/>
  <c r="K20" i="2"/>
  <c r="P20" i="2" s="1"/>
  <c r="N19" i="2"/>
  <c r="K19" i="2"/>
  <c r="P19" i="2" s="1"/>
  <c r="N18" i="2"/>
  <c r="K18" i="2"/>
  <c r="P18" i="2" s="1"/>
  <c r="N17" i="2"/>
  <c r="K17" i="2"/>
  <c r="P17" i="2" s="1"/>
  <c r="N16" i="2"/>
  <c r="K16" i="2"/>
  <c r="P16" i="2" s="1"/>
  <c r="N15" i="2"/>
  <c r="K15" i="2"/>
  <c r="P15" i="2" s="1"/>
  <c r="N14" i="2"/>
  <c r="K14" i="2"/>
  <c r="P14" i="2" s="1"/>
  <c r="N13" i="2"/>
  <c r="K13" i="2"/>
  <c r="P13" i="2" s="1"/>
  <c r="N12" i="2"/>
  <c r="K12" i="2"/>
  <c r="P12" i="2" s="1"/>
  <c r="N11" i="2"/>
  <c r="K11" i="2"/>
  <c r="P11" i="2" s="1"/>
  <c r="N10" i="2"/>
  <c r="K10" i="2"/>
  <c r="P10" i="2" s="1"/>
  <c r="N8" i="2"/>
  <c r="K8" i="2"/>
  <c r="P8" i="2" s="1"/>
  <c r="N9" i="2"/>
  <c r="K9" i="2"/>
  <c r="P9" i="2" s="1"/>
  <c r="N7" i="2"/>
  <c r="K7" i="2"/>
  <c r="P7" i="2" s="1"/>
  <c r="N6" i="2"/>
  <c r="K6" i="2"/>
  <c r="P6" i="2" s="1"/>
  <c r="N5" i="2"/>
  <c r="K5" i="2"/>
  <c r="P5" i="2" s="1"/>
  <c r="N4" i="2"/>
  <c r="K4" i="2"/>
  <c r="P4" i="2" s="1"/>
  <c r="N3" i="2"/>
  <c r="K3" i="2"/>
  <c r="P3" i="2" s="1"/>
  <c r="N61" i="2" l="1"/>
  <c r="P60" i="2"/>
  <c r="P61" i="2" s="1"/>
</calcChain>
</file>

<file path=xl/sharedStrings.xml><?xml version="1.0" encoding="utf-8"?>
<sst xmlns="http://schemas.openxmlformats.org/spreadsheetml/2006/main" count="470" uniqueCount="285">
  <si>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</si>
  <si>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</si>
  <si>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</si>
  <si>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</si>
  <si>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</si>
  <si>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</si>
  <si>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</si>
  <si>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</si>
  <si>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</si>
  <si>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</si>
  <si>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</si>
  <si>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</si>
  <si>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</si>
  <si>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</si>
  <si>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</si>
  <si>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</si>
  <si>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</si>
  <si>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</si>
  <si>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</si>
  <si>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</si>
  <si>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</si>
  <si>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</si>
  <si>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</si>
  <si>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</si>
  <si>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</si>
  <si>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</si>
  <si>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</si>
  <si>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</si>
  <si>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</si>
  <si>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</si>
  <si>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</si>
  <si>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</si>
  <si>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</si>
  <si>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</si>
  <si>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</si>
  <si>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</si>
  <si>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</si>
  <si>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</si>
  <si>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</si>
  <si>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</si>
  <si>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</si>
  <si>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</si>
  <si>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</si>
  <si>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</si>
  <si>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</si>
  <si>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</si>
  <si>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</si>
  <si>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</si>
  <si>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</si>
  <si>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</si>
  <si>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</si>
  <si>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</si>
  <si>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</si>
  <si>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</si>
  <si>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</si>
  <si>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</si>
  <si>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</si>
  <si>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</si>
  <si>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</si>
  <si>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</si>
  <si>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</si>
  <si>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</si>
  <si>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</si>
  <si>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</si>
  <si>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</si>
  <si>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</si>
  <si>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</si>
  <si>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</si>
  <si>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</si>
  <si>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</si>
  <si>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</si>
  <si>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</si>
  <si>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</si>
  <si>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</si>
  <si>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</si>
  <si>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</si>
  <si>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</si>
  <si>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</si>
  <si>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</si>
  <si>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</si>
  <si>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</si>
  <si>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</si>
  <si>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</si>
  <si>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</si>
  <si>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</si>
  <si>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</si>
  <si>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</si>
  <si>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</si>
  <si>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</si>
  <si>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</si>
  <si>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</si>
  <si>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</si>
  <si>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</si>
  <si>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</si>
  <si>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</si>
  <si>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</si>
  <si>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</si>
  <si>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</si>
  <si>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</si>
  <si>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</si>
  <si>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</si>
  <si>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</si>
  <si>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</si>
  <si>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</si>
  <si>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</si>
  <si>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</si>
  <si>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</si>
  <si>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</si>
  <si>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</si>
  <si>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</si>
  <si>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</si>
  <si>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</si>
  <si>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</si>
  <si>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</si>
  <si>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</si>
  <si>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</si>
  <si>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</si>
  <si>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</si>
  <si>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</si>
  <si>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</si>
  <si>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</si>
  <si>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</si>
  <si>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</si>
  <si>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</si>
  <si>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</si>
  <si>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</si>
  <si>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</si>
  <si>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</si>
  <si>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</si>
  <si>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Digikey</t>
  </si>
  <si>
    <t>Total Cost (5)</t>
  </si>
  <si>
    <t>Remarks</t>
  </si>
  <si>
    <t>Central Semiconductor Corp</t>
  </si>
  <si>
    <t>SunLED</t>
  </si>
  <si>
    <t>Würth Elektronik</t>
  </si>
  <si>
    <t>TDK Corporation</t>
  </si>
  <si>
    <t>Yageo</t>
  </si>
  <si>
    <t>Vishay Dale</t>
  </si>
  <si>
    <t>Analog Devices Inc.</t>
  </si>
  <si>
    <t>EXV477M025A9PAA</t>
  </si>
  <si>
    <t>Aliexpress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</si>
  <si>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</si>
  <si>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</si>
  <si>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</si>
  <si>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</si>
  <si>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</si>
  <si>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</si>
  <si>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</si>
  <si>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</si>
  <si>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Arrow</t>
  </si>
  <si>
    <t>RES 0.05 OHM 1% 1/2W 2010</t>
  </si>
  <si>
    <t>WSL2010R0500FEA</t>
  </si>
  <si>
    <t>AliExpress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</si>
  <si>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</si>
  <si>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</si>
  <si>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</si>
  <si>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</si>
  <si>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</si>
  <si>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</si>
  <si>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Mouser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</si>
  <si>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</si>
  <si>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</si>
  <si>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</si>
  <si>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</si>
  <si>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</si>
  <si>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</si>
  <si>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</si>
  <si>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</si>
  <si>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</si>
  <si>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</si>
  <si>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</si>
  <si>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</si>
  <si>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</si>
  <si>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</si>
  <si>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</si>
  <si>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</si>
  <si>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</si>
  <si>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</si>
  <si>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</si>
  <si>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</si>
  <si>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</si>
  <si>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</si>
  <si>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</si>
  <si>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</si>
  <si>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</si>
  <si>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</si>
  <si>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</si>
  <si>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</si>
  <si>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</si>
  <si>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</si>
  <si>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>Capacitors</t>
  </si>
  <si>
    <t>Resistors</t>
  </si>
  <si>
    <t>12DFN</t>
  </si>
  <si>
    <t>Solder Bridge ON</t>
  </si>
  <si>
    <t>SB1</t>
  </si>
  <si>
    <t>Solder Bridge</t>
  </si>
  <si>
    <t>C1, C11, C13, C14, C15, C17, C21, C32, C36, C51, C53, CF1, CF3</t>
  </si>
  <si>
    <t>CAP CER 2.2UF 25V X5R 0603</t>
  </si>
  <si>
    <t>C5</t>
  </si>
  <si>
    <t>CC0603KRX5R8BB225</t>
  </si>
  <si>
    <t>2.2uF</t>
  </si>
  <si>
    <t>DigiKey</t>
  </si>
  <si>
    <t>C6, C7, C12, C31, C35, CF2</t>
  </si>
  <si>
    <t>C42, C54</t>
  </si>
  <si>
    <t>Q3</t>
  </si>
  <si>
    <t>R1, R9, R10, R15</t>
  </si>
  <si>
    <t>R3, R4, R11, R12, R13, R32, RF1</t>
  </si>
  <si>
    <t>R6, R36, R37</t>
  </si>
  <si>
    <t>R7</t>
  </si>
  <si>
    <t>R14</t>
  </si>
  <si>
    <t>R16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</si>
  <si>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</si>
  <si>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</si>
  <si>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</si>
  <si>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</si>
  <si>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</si>
  <si>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</si>
  <si>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</si>
  <si>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</si>
  <si>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</si>
  <si>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</si>
  <si>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</si>
  <si>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</si>
  <si>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</si>
  <si>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J1, J14, J15</t>
  </si>
  <si>
    <t>Custom Supplier</t>
  </si>
  <si>
    <t>CAP CER 22UF 35V X5R 0805</t>
  </si>
  <si>
    <t>C#1, C#2</t>
  </si>
  <si>
    <t>Cap0805</t>
  </si>
  <si>
    <t>C2012X5R1V226MT000E</t>
  </si>
  <si>
    <t>L1, L3</t>
  </si>
  <si>
    <t>1K</t>
  </si>
  <si>
    <t>RES SMD 1K OHM 1% 1/10W 0603</t>
  </si>
  <si>
    <t>RC0603FR-071KL</t>
  </si>
  <si>
    <t>Extra Components</t>
  </si>
  <si>
    <t>RFID-RC522</t>
  </si>
  <si>
    <t>Mifare 13.56Mhz RC522 RFID Card Reader Module</t>
  </si>
  <si>
    <t>--------</t>
  </si>
  <si>
    <t>-------</t>
  </si>
  <si>
    <t>-----</t>
  </si>
  <si>
    <t xml:space="preserve">SG90 </t>
  </si>
  <si>
    <t xml:space="preserve">Laod Cell </t>
  </si>
  <si>
    <t xml:space="preserve">RGB LED </t>
  </si>
  <si>
    <t>22uF</t>
  </si>
  <si>
    <t xml:space="preserve">SG90 Servo Motor, Micro Servo 9G SG90 Kit for RC Robot Arm/Walking Helicopter Airplane Car Boat Control, Micro Servos </t>
  </si>
  <si>
    <t xml:space="preserve">TDK </t>
  </si>
  <si>
    <t>Amazon</t>
  </si>
  <si>
    <t>Ulincos Momentary Push Button Switch U16F1 1NO1NC Black Metal Shell with Blue LED Ring Suitable for 16mm 5/8" Mounting Hole (Blue)</t>
  </si>
  <si>
    <t>Power On/Off Switch</t>
  </si>
  <si>
    <t>Battery</t>
  </si>
  <si>
    <t>Adapter</t>
  </si>
  <si>
    <t>LifePO4; 7.2V; 6Ah battery.</t>
  </si>
  <si>
    <t>12V USB-C Adapter</t>
  </si>
  <si>
    <t>WS2812B DIY RGB LED Ring 37 to 241 Pixels WS2812 Round Modules SK6812 5050 Built-in RGB Addressable DC5V LED Circle Arduino Ring</t>
  </si>
  <si>
    <t>C3, C4, C16, C39, C41, C50, C52</t>
  </si>
  <si>
    <t>CAP CER 1000PF 25V C0G/NPO 0603</t>
  </si>
  <si>
    <t>1nF</t>
  </si>
  <si>
    <t>CC0603JRNPO8BN102</t>
  </si>
  <si>
    <t>ESP32-WROOM-32E(4MB)</t>
  </si>
  <si>
    <t>P1, P2, P3, P4, P5, P6</t>
  </si>
  <si>
    <t>LED4, LED5</t>
  </si>
  <si>
    <t>R2</t>
  </si>
  <si>
    <t>Res Thick Film 0603 453K Ohm 1% 1/10W ±100ppm/°C Molded SMD Paper T/R</t>
  </si>
  <si>
    <t>Rohm</t>
  </si>
  <si>
    <t>TE Connectivity Holsworthy</t>
  </si>
  <si>
    <t>Panasonic</t>
  </si>
  <si>
    <t>Vishay</t>
  </si>
  <si>
    <t>Stackpole Electronics</t>
  </si>
  <si>
    <t>7 POS 2.54mm female header</t>
  </si>
  <si>
    <t>HDR_F_1X7</t>
  </si>
  <si>
    <t>4 POS 2.54mm female header</t>
  </si>
  <si>
    <t>J2, J4</t>
  </si>
  <si>
    <t>HDR_F_1X4</t>
  </si>
  <si>
    <t>2 POS 2.54mm female header</t>
  </si>
  <si>
    <t>HDR_F_1X2</t>
  </si>
  <si>
    <t>3 POS 2.54mm female header</t>
  </si>
  <si>
    <t>HDR_F_1X3</t>
  </si>
  <si>
    <t>Mill-Max</t>
  </si>
  <si>
    <t xml:space="preserve">801-93-007-10-001000
</t>
  </si>
  <si>
    <t xml:space="preserve">801-47-004-10-001000
</t>
  </si>
  <si>
    <t xml:space="preserve">801-47-002-10-001000
</t>
  </si>
  <si>
    <t xml:space="preserve">801-47-003-10-001000
</t>
  </si>
  <si>
    <t>U7, U8, U19, U10,U11</t>
  </si>
  <si>
    <t>J3, J24, J25, J28, J29, J31</t>
  </si>
  <si>
    <t>J10, J11, J12, J13, J17,  J20, J30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</si>
</sst>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5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8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top"/>
    </xf>
    <xf numFmtId="0" fontId="6" fillId="0" borderId="10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4" borderId="10" xfId="0" quotePrefix="1" applyFont="1" applyFill="1" applyBorder="1" applyAlignment="1">
      <alignment horizontal="left" vertical="top"/>
    </xf>
    <xf numFmtId="0" fontId="6" fillId="4" borderId="3" xfId="0" quotePrefix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4" fillId="4" borderId="3" xfId="0" applyNumberFormat="1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4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4" borderId="3" xfId="0" quotePrefix="1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0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4" fontId="13" fillId="0" borderId="2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22" xfId="0" quotePrefix="1" applyFont="1" applyFill="1" applyBorder="1" applyAlignment="1">
      <alignment horizontal="center" vertical="center"/>
    </xf>
    <xf numFmtId="0" fontId="6" fillId="0" borderId="24" xfId="0" quotePrefix="1" applyFont="1" applyBorder="1" applyAlignment="1">
      <alignment horizontal="left" vertical="top"/>
    </xf>
    <xf numFmtId="0" fontId="6" fillId="0" borderId="25" xfId="0" quotePrefix="1" applyFont="1" applyBorder="1" applyAlignment="1">
      <alignment horizontal="center" vertical="center"/>
    </xf>
    <xf numFmtId="0" fontId="4" fillId="0" borderId="25" xfId="0" quotePrefix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8" fillId="0" borderId="3" xfId="0" quotePrefix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left" vertical="top" wrapText="1"/>
    </xf>
    <xf numFmtId="0" fontId="4" fillId="0" borderId="29" xfId="0" applyFont="1" applyBorder="1" applyAlignment="1">
      <alignment horizontal="center" vertical="center"/>
    </xf>
    <xf numFmtId="0" fontId="0" fillId="0" borderId="3" xfId="0" applyBorder="1"/>
    <xf numFmtId="0" fontId="0" fillId="0" borderId="3" xfId="0" quotePrefix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0" fillId="0" borderId="8" xfId="0" applyBorder="1"/>
    <xf numFmtId="0" fontId="12" fillId="0" borderId="17" xfId="0" applyFont="1" applyBorder="1" applyAlignment="1">
      <alignment horizontal="center" vertical="center"/>
    </xf>
    <xf numFmtId="0" fontId="6" fillId="0" borderId="3" xfId="0" quotePrefix="1" applyFont="1" applyBorder="1" applyAlignment="1">
      <alignment horizontal="left" vertical="top" wrapText="1"/>
    </xf>
    <xf numFmtId="0" fontId="6" fillId="0" borderId="11" xfId="0" quotePrefix="1" applyFont="1" applyBorder="1" applyAlignment="1">
      <alignment horizontal="left" vertical="top" wrapText="1"/>
    </xf>
    <xf numFmtId="0" fontId="0" fillId="0" borderId="6" xfId="0" quotePrefix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6" fillId="0" borderId="27" xfId="0" quotePrefix="1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8" fillId="3" borderId="33" xfId="0" quotePrefix="1" applyFont="1" applyFill="1" applyBorder="1" applyAlignment="1">
      <alignment horizontal="left" vertical="top" wrapText="1"/>
    </xf>
    <xf numFmtId="0" fontId="8" fillId="3" borderId="21" xfId="0" quotePrefix="1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1" xfId="0" quotePrefix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165" fontId="8" fillId="3" borderId="21" xfId="0" quotePrefix="1" applyNumberFormat="1" applyFont="1" applyFill="1" applyBorder="1" applyAlignment="1">
      <alignment horizontal="center" vertical="center"/>
    </xf>
    <xf numFmtId="167" fontId="9" fillId="3" borderId="34" xfId="0" applyNumberFormat="1" applyFont="1" applyFill="1" applyBorder="1" applyAlignment="1">
      <alignment horizontal="center" vertical="center"/>
    </xf>
    <xf numFmtId="0" fontId="6" fillId="0" borderId="28" xfId="0" quotePrefix="1" applyFont="1" applyBorder="1" applyAlignment="1">
      <alignment horizontal="left" vertical="top"/>
    </xf>
    <xf numFmtId="0" fontId="13" fillId="0" borderId="22" xfId="0" quotePrefix="1" applyFont="1" applyBorder="1" applyAlignment="1">
      <alignment horizontal="center" vertical="center"/>
    </xf>
    <xf numFmtId="0" fontId="6" fillId="0" borderId="22" xfId="0" quotePrefix="1" applyFont="1" applyBorder="1" applyAlignment="1">
      <alignment horizontal="center" vertical="center"/>
    </xf>
    <xf numFmtId="0" fontId="4" fillId="0" borderId="22" xfId="0" quotePrefix="1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165" fontId="4" fillId="0" borderId="22" xfId="0" applyNumberFormat="1" applyFont="1" applyBorder="1" applyAlignment="1">
      <alignment horizontal="center" vertical="center"/>
    </xf>
    <xf numFmtId="164" fontId="4" fillId="0" borderId="22" xfId="0" applyNumberFormat="1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13" fillId="4" borderId="2" xfId="0" quotePrefix="1" applyFont="1" applyFill="1" applyBorder="1" applyAlignment="1">
      <alignment horizontal="center" vertical="center"/>
    </xf>
    <xf numFmtId="0" fontId="13" fillId="4" borderId="6" xfId="0" quotePrefix="1" applyFont="1" applyFill="1" applyBorder="1" applyAlignment="1">
      <alignment horizontal="center" vertical="center"/>
    </xf>
    <xf numFmtId="0" fontId="6" fillId="4" borderId="11" xfId="0" quotePrefix="1" applyFont="1" applyFill="1" applyBorder="1" applyAlignment="1">
      <alignment horizontal="left" vertical="top"/>
    </xf>
    <xf numFmtId="0" fontId="6" fillId="4" borderId="6" xfId="0" quotePrefix="1" applyFont="1" applyFill="1" applyBorder="1" applyAlignment="1">
      <alignment horizontal="center" vertical="center"/>
    </xf>
    <xf numFmtId="0" fontId="4" fillId="0" borderId="21" xfId="0" quotePrefix="1" applyFont="1" applyBorder="1" applyAlignment="1">
      <alignment horizontal="center" vertical="center"/>
    </xf>
    <xf numFmtId="0" fontId="6" fillId="0" borderId="21" xfId="0" quotePrefix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65" fontId="4" fillId="0" borderId="21" xfId="0" applyNumberFormat="1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6" fillId="0" borderId="33" xfId="0" quotePrefix="1" applyFont="1" applyBorder="1" applyAlignment="1">
      <alignment horizontal="left" vertical="top"/>
    </xf>
    <xf numFmtId="0" fontId="2" fillId="0" borderId="21" xfId="1" applyFont="1" applyBorder="1" applyAlignment="1" applyProtection="1">
      <alignment horizontal="center" vertical="center"/>
    </xf>
    <xf numFmtId="0" fontId="6" fillId="0" borderId="29" xfId="0" quotePrefix="1" applyFont="1" applyBorder="1" applyAlignment="1">
      <alignment horizontal="center" vertical="center"/>
    </xf>
    <xf numFmtId="165" fontId="4" fillId="0" borderId="29" xfId="0" applyNumberFormat="1" applyFont="1" applyBorder="1" applyAlignment="1">
      <alignment horizontal="center" vertical="center"/>
    </xf>
    <xf numFmtId="0" fontId="4" fillId="4" borderId="25" xfId="0" quotePrefix="1" applyFont="1" applyFill="1" applyBorder="1" applyAlignment="1">
      <alignment horizontal="center" vertical="center"/>
    </xf>
    <xf numFmtId="0" fontId="6" fillId="4" borderId="25" xfId="0" quotePrefix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65" fontId="4" fillId="4" borderId="25" xfId="0" applyNumberFormat="1" applyFont="1" applyFill="1" applyBorder="1" applyAlignment="1">
      <alignment horizontal="center" vertical="center"/>
    </xf>
    <xf numFmtId="164" fontId="4" fillId="4" borderId="2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4" fillId="4" borderId="22" xfId="0" quotePrefix="1" applyFont="1" applyFill="1" applyBorder="1" applyAlignment="1">
      <alignment horizontal="center" vertical="center"/>
    </xf>
    <xf numFmtId="0" fontId="6" fillId="4" borderId="22" xfId="0" quotePrefix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2" fillId="0" borderId="22" xfId="1" applyFont="1" applyBorder="1" applyAlignment="1" applyProtection="1">
      <alignment horizontal="center" vertical="center"/>
    </xf>
    <xf numFmtId="165" fontId="4" fillId="4" borderId="22" xfId="0" applyNumberFormat="1" applyFont="1" applyFill="1" applyBorder="1" applyAlignment="1">
      <alignment horizontal="center" vertical="center"/>
    </xf>
    <xf numFmtId="164" fontId="4" fillId="4" borderId="2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2" fillId="0" borderId="6" xfId="1" applyFont="1" applyBorder="1" applyAlignment="1" applyProtection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4" borderId="27" xfId="0" quotePrefix="1" applyFont="1" applyFill="1" applyBorder="1" applyAlignment="1">
      <alignment horizontal="center" vertical="center"/>
    </xf>
    <xf numFmtId="0" fontId="13" fillId="4" borderId="25" xfId="0" quotePrefix="1" applyFont="1" applyFill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0" fontId="0" fillId="0" borderId="25" xfId="0" applyBorder="1" applyAlignment="1"/>
    <xf numFmtId="0" fontId="0" fillId="0" borderId="25" xfId="0" quotePrefix="1" applyBorder="1" applyAlignment="1">
      <alignment horizontal="center"/>
    </xf>
    <xf numFmtId="0" fontId="6" fillId="0" borderId="25" xfId="0" applyFont="1" applyFill="1" applyBorder="1" applyAlignment="1">
      <alignment horizontal="center" vertical="center"/>
    </xf>
    <xf numFmtId="0" fontId="4" fillId="0" borderId="25" xfId="0" applyFont="1" applyFill="1" applyBorder="1" applyAlignment="1">
      <alignment horizontal="center" vertical="center"/>
    </xf>
    <xf numFmtId="0" fontId="0" fillId="0" borderId="26" xfId="0" quotePrefix="1" applyBorder="1" applyAlignment="1">
      <alignment horizontal="center"/>
    </xf>
    <xf numFmtId="0" fontId="6" fillId="4" borderId="1" xfId="0" quotePrefix="1" applyFont="1" applyFill="1" applyBorder="1" applyAlignment="1">
      <alignment horizontal="left" vertical="top"/>
    </xf>
    <xf numFmtId="0" fontId="6" fillId="0" borderId="29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8" fillId="3" borderId="6" xfId="0" quotePrefix="1" applyFont="1" applyFill="1" applyBorder="1" applyAlignment="1">
      <alignment horizontal="center" vertical="center" wrapText="1"/>
    </xf>
    <xf numFmtId="0" fontId="4" fillId="4" borderId="29" xfId="0" quotePrefix="1" applyFont="1" applyFill="1" applyBorder="1" applyAlignment="1">
      <alignment horizontal="center" vertical="center" wrapText="1"/>
    </xf>
    <xf numFmtId="0" fontId="4" fillId="4" borderId="3" xfId="0" quotePrefix="1" applyFont="1" applyFill="1" applyBorder="1" applyAlignment="1">
      <alignment horizontal="center" vertical="center" wrapText="1"/>
    </xf>
    <xf numFmtId="0" fontId="4" fillId="4" borderId="6" xfId="0" quotePrefix="1" applyFont="1" applyFill="1" applyBorder="1" applyAlignment="1">
      <alignment horizontal="center" vertical="center"/>
    </xf>
    <xf numFmtId="0" fontId="4" fillId="4" borderId="2" xfId="0" quotePrefix="1" applyFont="1" applyFill="1" applyBorder="1" applyAlignment="1">
      <alignment horizontal="center" vertical="center"/>
    </xf>
    <xf numFmtId="0" fontId="4" fillId="4" borderId="27" xfId="0" quotePrefix="1" applyFont="1" applyFill="1" applyBorder="1" applyAlignment="1">
      <alignment horizontal="center" vertical="center"/>
    </xf>
    <xf numFmtId="0" fontId="4" fillId="4" borderId="21" xfId="0" quotePrefix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1" fillId="0" borderId="29" xfId="1" applyBorder="1" applyAlignment="1" applyProtection="1">
      <alignment horizontal="center" vertical="center"/>
    </xf>
    <xf numFmtId="0" fontId="1" fillId="0" borderId="6" xfId="1" applyBorder="1" applyAlignment="1" applyProtection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7" fillId="4" borderId="16" xfId="0" applyFont="1" applyFill="1" applyBorder="1" applyAlignment="1">
      <alignment horizontal="center" wrapText="1"/>
    </xf>
    <xf numFmtId="0" fontId="7" fillId="4" borderId="0" xfId="0" applyFont="1" applyFill="1" applyBorder="1" applyAlignment="1">
      <alignment horizontal="center" wrapText="1"/>
    </xf>
    <xf numFmtId="0" fontId="14" fillId="2" borderId="15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microelectronics" TargetMode="External"/><Relationship Id="rId21" Type="http://schemas.openxmlformats.org/officeDocument/2006/relationships/hyperlink" Target="https://lcsc.com/brand-detail/296.html" TargetMode="External"/><Relationship Id="rId42" Type="http://schemas.openxmlformats.org/officeDocument/2006/relationships/hyperlink" Target="https://www.digikey.com/en/products/detail/yageo/CC0603KRX5R8BB225/5195194" TargetMode="External"/><Relationship Id="rId47" Type="http://schemas.openxmlformats.org/officeDocument/2006/relationships/hyperlink" Target="https://www.amazon.com/PWR-Plus-Charger-QuickCharge-Adapter/dp/B078X1MN4Q" TargetMode="External"/><Relationship Id="rId63" Type="http://schemas.openxmlformats.org/officeDocument/2006/relationships/hyperlink" Target="https://www.digikey.com/en/products/detail/vishay-dale/WSL2010R0500FEA/712531" TargetMode="External"/><Relationship Id="rId68" Type="http://schemas.openxmlformats.org/officeDocument/2006/relationships/hyperlink" Target="https://www.digikey.com/en/products/detail/mill-max-manufacturing-corp/801-47-004-10-001000/7364075" TargetMode="External"/><Relationship Id="rId7" Type="http://schemas.openxmlformats.org/officeDocument/2006/relationships/hyperlink" Target="https://lcsc.com/brand-detail/756.html" TargetMode="External"/><Relationship Id="rId71" Type="http://schemas.openxmlformats.org/officeDocument/2006/relationships/printerSettings" Target="../printerSettings/printerSettings1.bin"/><Relationship Id="rId2" Type="http://schemas.openxmlformats.org/officeDocument/2006/relationships/hyperlink" Target="https://lcsc.com/brand-detail/254.html" TargetMode="External"/><Relationship Id="rId16" Type="http://schemas.openxmlformats.org/officeDocument/2006/relationships/hyperlink" Target="https://www.digikey.com/en/products/detail/diodes-incorporated/S1A-13-F/749977" TargetMode="External"/><Relationship Id="rId29" Type="http://schemas.openxmlformats.org/officeDocument/2006/relationships/hyperlink" Target="https://www.digikey.com/en/supplier-centers/analog-devices" TargetMode="External"/><Relationship Id="rId11" Type="http://schemas.openxmlformats.org/officeDocument/2006/relationships/hyperlink" Target="https://www.digikey.com/en/products/detail/samsung-electro-mechanics/CL10A105KA8NNNC/3886760?s=N4IgTCBcDaIMIBkCMAGAgqgrAaTQDgDki4QBdAXyA" TargetMode="External"/><Relationship Id="rId24" Type="http://schemas.openxmlformats.org/officeDocument/2006/relationships/hyperlink" Target="https://www.digikey.com/en/products/detail/on-semiconductor/MMBT4403LT1G/919609" TargetMode="External"/><Relationship Id="rId32" Type="http://schemas.openxmlformats.org/officeDocument/2006/relationships/hyperlink" Target="https://www.digikey.com/en/products/detail/kemet/EXV477M025A9PAA/7319818" TargetMode="External"/><Relationship Id="rId37" Type="http://schemas.openxmlformats.org/officeDocument/2006/relationships/hyperlink" Target="https://www.digikey.com/en/products/detail/omron-electronics-inc-emc-div/B3U-1000P/1534338" TargetMode="External"/><Relationship Id="rId40" Type="http://schemas.openxmlformats.org/officeDocument/2006/relationships/hyperlink" Target="https://www.digikey.com/en/products/detail/vishay-siliconix/SI3865DDV-T1-GE3/4563551?s=N4IgTCBcDaIMoEkDMAOAbAVgCJYGoFoAVARnwHEBRJEAXQF8g" TargetMode="External"/><Relationship Id="rId45" Type="http://schemas.openxmlformats.org/officeDocument/2006/relationships/hyperlink" Target="https://www.amazon.com/Qunqi-Sensor-Module-Arduino-Raspberry/dp/B07QBPGYBF/" TargetMode="External"/><Relationship Id="rId53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58" Type="http://schemas.openxmlformats.org/officeDocument/2006/relationships/hyperlink" Target="https://www.digikey.com/en/products/detail/yageo/AC0603JR-07470KL/5896462?s=N4IgTCBcDaIIIGEAMA2JBmAUgJQLRIHYAWApAaQBkQBdAXyA" TargetMode="External"/><Relationship Id="rId66" Type="http://schemas.openxmlformats.org/officeDocument/2006/relationships/hyperlink" Target="https://eu.mouser.com/ProductDetail/TDK/SLF10145T-100M2R5-PF?qs=GhRZM%252B2y2U3k5xkDsYK8bQ%3D%3D" TargetMode="External"/><Relationship Id="rId5" Type="http://schemas.openxmlformats.org/officeDocument/2006/relationships/hyperlink" Target="https://lcsc.com/brand-detail/296.html" TargetMode="External"/><Relationship Id="rId61" Type="http://schemas.openxmlformats.org/officeDocument/2006/relationships/hyperlink" Target="https://www.digikey.com/en/products/detail/yageo/RC0603FR-07453KL/727247?s=N4IgTCBcDaIEoGEAMA2JBmAYnAtEg7ACwCs6A0gDIgC6AvkA" TargetMode="External"/><Relationship Id="rId19" Type="http://schemas.openxmlformats.org/officeDocument/2006/relationships/hyperlink" Target="https://www.digikey.com/en/supplier-centers/wurth-electronics" TargetMode="External"/><Relationship Id="rId14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22" Type="http://schemas.openxmlformats.org/officeDocument/2006/relationships/hyperlink" Target="https://www.digikey.com/en/supplier-centers/tdk" TargetMode="External"/><Relationship Id="rId27" Type="http://schemas.openxmlformats.org/officeDocument/2006/relationships/hyperlink" Target="https://www.digikey.com/en/products/detail/stmicroelectronics/LDF33DT-TR/4841765?s=N4IgTCBcDaIDIBEBiBmFCAqBaDAlEAugL5A" TargetMode="External"/><Relationship Id="rId30" Type="http://schemas.openxmlformats.org/officeDocument/2006/relationships/hyperlink" Target="https://www.digikey.com/en/products/detail/analog-devices-inc/LT3652EDD-PBF/2138757?s=N4IgTCBcDaIDIBUDMA2ArGAogEWwYgAUAhAMRAF0BfIA" TargetMode="External"/><Relationship Id="rId35" Type="http://schemas.openxmlformats.org/officeDocument/2006/relationships/hyperlink" Target="https://eu.mouser.com/ProductDetail/Comchip-Technology/SS54B-HF?qs=sGAEpiMZZMsG1k5vdNM%2Fc1i8eaIk1f%2FD%252BdMZ8lFygyY=" TargetMode="External"/><Relationship Id="rId43" Type="http://schemas.openxmlformats.org/officeDocument/2006/relationships/hyperlink" Target="https://www.digikey.com/en/products/detail/lite-on-inc/LTST-C170KSKT/386781?s=N4IgTCBcDaIDIBUDKCC0BhAjAdgAwGkl8EQBdAXyA" TargetMode="External"/><Relationship Id="rId48" Type="http://schemas.openxmlformats.org/officeDocument/2006/relationships/hyperlink" Target="https://www.amazon.com/gp/product/B01I9KDTZK" TargetMode="External"/><Relationship Id="rId56" Type="http://schemas.openxmlformats.org/officeDocument/2006/relationships/hyperlink" Target="https://www.digikey.com/en/products/detail/yageo/RC0603FR-0754K9L/727298?s=N4IgTCBcDaIEoGEAMA2JBmAYnAtEg7AKwAsA0gJwAyIAugL5A" TargetMode="External"/><Relationship Id="rId64" Type="http://schemas.openxmlformats.org/officeDocument/2006/relationships/hyperlink" Target="https://www.digikey.com/en/products/detail/taiyo-yuden/TMK107BBJ106MA-T/7403921?s=N4IgTCBcDaICoFkDSBGADAdgEJYFLoDYEBBAWjhAF0BfIA" TargetMode="External"/><Relationship Id="rId69" Type="http://schemas.openxmlformats.org/officeDocument/2006/relationships/hyperlink" Target="https://www.digikey.com/en/products/detail/mill-max-manufacturing-corp/801-47-002-10-001000/7364071?s=N4IgTCBcDaIBwAYCMBaALAdhQhYVIW2RwRAF0BfIA" TargetMode="External"/><Relationship Id="rId8" Type="http://schemas.openxmlformats.org/officeDocument/2006/relationships/hyperlink" Target="https://lcsc.com/brand-detail/100.html" TargetMode="External"/><Relationship Id="rId51" Type="http://schemas.openxmlformats.org/officeDocument/2006/relationships/hyperlink" Target="https://www.digikey.com/en/products/detail/vishay-dale/RCA0603100RFKEAHP/6561241?s=N4IgTCBcDaIEoGECCAGAbCgzARhSuAYgNICiSAEgAogC6AvkA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7" Type="http://schemas.openxmlformats.org/officeDocument/2006/relationships/hyperlink" Target="https://www.digikey.com/en/supplier-centers/sunled" TargetMode="External"/><Relationship Id="rId25" Type="http://schemas.openxmlformats.org/officeDocument/2006/relationships/hyperlink" Target="https://www.digikey.com/en/supplier-centers/texas-instruments" TargetMode="External"/><Relationship Id="rId33" Type="http://schemas.openxmlformats.org/officeDocument/2006/relationships/hyperlink" Target="https://www.aliexpress.com/item/4000994283828.html" TargetMode="External"/><Relationship Id="rId38" Type="http://schemas.openxmlformats.org/officeDocument/2006/relationships/hyperlink" Target="https://lcsc.com/brand-detail/877.html" TargetMode="External"/><Relationship Id="rId46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59" Type="http://schemas.openxmlformats.org/officeDocument/2006/relationships/hyperlink" Target="https://www.digikey.com/en/products/detail/panasonic-electronic-components/ERA-3VEB4700V/12085013?s=N4IgTCBcDaIKICUCCBmAanAQgFgOwAZ80QBdAXyA" TargetMode="External"/><Relationship Id="rId67" Type="http://schemas.openxmlformats.org/officeDocument/2006/relationships/hyperlink" Target="https://www.digikey.com/en/products/detail/mill-max-manufacturing-corp/801-93-007-10-001000/218629" TargetMode="External"/><Relationship Id="rId20" Type="http://schemas.openxmlformats.org/officeDocument/2006/relationships/hyperlink" Target="https://www.digikey.com/en/products/detail/w%C3%BCrth-elektronik/74437368033/2791109?s=N4IgTCBcDaIOwBYEGY7IGwA4AMzkgF0BfIA" TargetMode="External"/><Relationship Id="rId41" Type="http://schemas.openxmlformats.org/officeDocument/2006/relationships/hyperlink" Target="https://www.digikey.com/en/products/detail/rohm-semiconductor/BD48K50G-TL/3693306?s=N4IgTCBcDaIEIBEAsAOA0gVgAwHEC0AKgDIgC6AvkA" TargetMode="External"/><Relationship Id="rId54" Type="http://schemas.openxmlformats.org/officeDocument/2006/relationships/hyperlink" Target="https://www.digikey.com/en/products/detail/vishay-dale/CRCW0603301KFKEB/5072030" TargetMode="External"/><Relationship Id="rId62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70" Type="http://schemas.openxmlformats.org/officeDocument/2006/relationships/hyperlink" Target="https://www.digikey.com/en/products/detail/mill-max-manufacturing-corp/801-47-003-10-001000/7364073?s=N4IgTCBcDaIBwAYCMBaALAdhQhBmFSC2yOCIAugL5A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4.html" TargetMode="External"/><Relationship Id="rId15" Type="http://schemas.openxmlformats.org/officeDocument/2006/relationships/hyperlink" Target="https://www.digikey.com/en/supplier-centers/central-semiconductor" TargetMode="External"/><Relationship Id="rId23" Type="http://schemas.openxmlformats.org/officeDocument/2006/relationships/hyperlink" Target="https://www.digikey.com/en/products/detail/diodes-incorporated/MMBT2222A-7-F/814503?s=N4IgTCBcDaILJwEIBUxrAQQLQHYsDEQBdAXyA" TargetMode="External"/><Relationship Id="rId28" Type="http://schemas.openxmlformats.org/officeDocument/2006/relationships/hyperlink" Target="https://www.digikey.com/en/products/detail/texas-instruments/SN74LV1T34DBVR/4555575" TargetMode="External"/><Relationship Id="rId36" Type="http://schemas.openxmlformats.org/officeDocument/2006/relationships/hyperlink" Target="https://www.digikey.com/en/products/detail/on-semiconductor/FDN306P/965300?s=N4IgTCBcDaIGIBEByBmADANgAogLoF8g" TargetMode="External"/><Relationship Id="rId49" Type="http://schemas.openxmlformats.org/officeDocument/2006/relationships/hyperlink" Target="https://www.amazon.com/gp/product/B01CDTED80/ref=ppx_yo_dt_b_search_asin_title?ie=UTF8&amp;psc=1" TargetMode="External"/><Relationship Id="rId57" Type="http://schemas.openxmlformats.org/officeDocument/2006/relationships/hyperlink" Target="https://www.digikey.com/en/products/detail/panasonic-electronic-components/ERJ-PA3J822V/5036103?s=N4IgTCBcDaIKICUBSBaACgQQMxIBxjADUQBdAXyA" TargetMode="External"/><Relationship Id="rId10" Type="http://schemas.openxmlformats.org/officeDocument/2006/relationships/hyperlink" Target="https://www.digikey.com/en/products/detail/samsung-electro-mechanics/CL10B104KB8NNNL/3894274?s=N4IgTCBcDaIMIBkCMAGAQqgLAaTQDgDkiEQBdAXyA" TargetMode="External"/><Relationship Id="rId31" Type="http://schemas.openxmlformats.org/officeDocument/2006/relationships/hyperlink" Target="https://www.digikey.com/en/products/detail/te-connectivity-amp-connectors/2305018-2/8680920" TargetMode="External"/><Relationship Id="rId44" Type="http://schemas.openxmlformats.org/officeDocument/2006/relationships/hyperlink" Target="https://www.digikey.com/en/products/detail/tdk-corporation/C2012X5R1V226M125AC/3951664?s=N4IgTCBcDaIMJgAwEYwA0CsAlZA1MYAbALIAqiFAoiALoC%2BQA" TargetMode="External"/><Relationship Id="rId52" Type="http://schemas.openxmlformats.org/officeDocument/2006/relationships/hyperlink" Target="https://www.digikey.com/en/products/detail/rohm-semiconductor/ESR03EZPF2002/1983437?s=N4IgTCBcDaIKIGUBKAGAzHAWgBQGJhRQgF0BfIA" TargetMode="External"/><Relationship Id="rId60" Type="http://schemas.openxmlformats.org/officeDocument/2006/relationships/hyperlink" Target="https://www.digikey.com/en/products/detail/vishay-dale/CRCW0603536KFKEA/1174979" TargetMode="External"/><Relationship Id="rId65" Type="http://schemas.openxmlformats.org/officeDocument/2006/relationships/hyperlink" Target="https://www.arrow.com/en/products/cc0603jrnpo8bn102/yageo?utm_campaign=octopart_2020&amp;utm_currency=USD&amp;utm_keyword=CC0603JRNPO8BN102&amp;utm_medium=aggregator&amp;utm_content=inv_listing&amp;region=nac&amp;utm_source=octopart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109.html" TargetMode="External"/><Relationship Id="rId13" Type="http://schemas.openxmlformats.org/officeDocument/2006/relationships/hyperlink" Target="https://lcsc.com/brand-detail/994.html" TargetMode="External"/><Relationship Id="rId18" Type="http://schemas.openxmlformats.org/officeDocument/2006/relationships/hyperlink" Target="https://www.digikey.com/en/products/detail/sunled/XZVG68W-2/4745975?s=N4IgTCBcDaIBoC0BqBxAbADgOoFoIF0BfIA" TargetMode="External"/><Relationship Id="rId39" Type="http://schemas.openxmlformats.org/officeDocument/2006/relationships/hyperlink" Target="https://www.digikey.com/en/products/detail/analog-devices-inc/LTC4412IS6-TRPBF/1746323?s=N4IgTCBcDaIDIBUDCAWFBGMBJAygNgGIEAlABQCEAxEAXQF8g" TargetMode="External"/><Relationship Id="rId34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50" Type="http://schemas.openxmlformats.org/officeDocument/2006/relationships/hyperlink" Target="https://www.digikey.com/en/products/detail/espressif-systems/ESP32-WROOM-32E-4MB/11613125" TargetMode="External"/><Relationship Id="rId55" Type="http://schemas.openxmlformats.org/officeDocument/2006/relationships/hyperlink" Target="https://www.digikey.com/en/products/detail/te-connectivity-passive-product/CRGH0603J100K/2385403?s=N4IgTCBcDaIMICUDiAJADANjQZgFIEY00BpEAXQF8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topLeftCell="D38" zoomScale="85" zoomScaleNormal="85" workbookViewId="0">
      <selection activeCell="L49" sqref="L49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64.42578125" customWidth="1"/>
    <col min="4" max="4" width="25.5703125" bestFit="1" customWidth="1"/>
    <col min="5" max="5" width="18.5703125" customWidth="1"/>
    <col min="6" max="6" width="25.28515625" bestFit="1" customWidth="1"/>
    <col min="7" max="7" width="27" bestFit="1" customWidth="1"/>
    <col min="8" max="8" width="16.7109375" bestFit="1" customWidth="1"/>
    <col min="9" max="9" width="6.140625" bestFit="1" customWidth="1"/>
    <col min="10" max="10" width="19.42578125" bestFit="1" customWidth="1"/>
    <col min="11" max="11" width="10.140625" bestFit="1" customWidth="1"/>
    <col min="12" max="12" width="14" bestFit="1" customWidth="1"/>
    <col min="13" max="13" width="11.5703125" bestFit="1" customWidth="1"/>
    <col min="14" max="14" width="12.140625" bestFit="1" customWidth="1"/>
    <col min="15" max="15" width="18.7109375" bestFit="1" customWidth="1"/>
    <col min="16" max="16" width="12.5703125" bestFit="1" customWidth="1"/>
    <col min="17" max="17" width="14.140625" bestFit="1" customWidth="1"/>
  </cols>
  <sheetData>
    <row r="1" spans="1:17" ht="16.5" thickBot="1" x14ac:dyDescent="0.3">
      <c r="A1" s="172" t="s">
        <v>141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4"/>
    </row>
    <row r="2" spans="1:17" ht="15.75" thickBot="1" x14ac:dyDescent="0.3">
      <c r="A2" s="42" t="s">
        <v>0</v>
      </c>
      <c r="B2" s="158" t="s">
        <v>1</v>
      </c>
      <c r="C2" s="158" t="s">
        <v>2</v>
      </c>
      <c r="D2" s="158" t="s">
        <v>3</v>
      </c>
      <c r="E2" s="158" t="s">
        <v>4</v>
      </c>
      <c r="F2" s="158" t="s">
        <v>5</v>
      </c>
      <c r="G2" s="158" t="s">
        <v>6</v>
      </c>
      <c r="H2" s="158" t="s">
        <v>7</v>
      </c>
      <c r="I2" s="158" t="s">
        <v>8</v>
      </c>
      <c r="J2" s="158" t="s">
        <v>9</v>
      </c>
      <c r="K2" s="158" t="s">
        <v>10</v>
      </c>
      <c r="L2" s="158" t="s">
        <v>11</v>
      </c>
      <c r="M2" s="158" t="s">
        <v>12</v>
      </c>
      <c r="N2" s="158" t="s">
        <v>13</v>
      </c>
      <c r="O2" s="158" t="s">
        <v>14</v>
      </c>
      <c r="P2" s="158" t="s">
        <v>130</v>
      </c>
      <c r="Q2" s="158" t="s">
        <v>131</v>
      </c>
    </row>
    <row r="3" spans="1:17" ht="39" thickBot="1" x14ac:dyDescent="0.3">
      <c r="A3" s="157">
        <v>1</v>
      </c>
      <c r="B3" s="163" t="s">
        <v>190</v>
      </c>
      <c r="C3" s="55" t="s">
        <v>15</v>
      </c>
      <c r="D3" s="151" t="s">
        <v>196</v>
      </c>
      <c r="E3" s="13" t="s">
        <v>16</v>
      </c>
      <c r="F3" s="13" t="s">
        <v>17</v>
      </c>
      <c r="G3" s="13" t="s">
        <v>18</v>
      </c>
      <c r="H3" s="35" t="s">
        <v>145</v>
      </c>
      <c r="I3" s="13" t="s">
        <v>111</v>
      </c>
      <c r="J3" s="15">
        <v>13</v>
      </c>
      <c r="K3" s="67">
        <f>J3*5</f>
        <v>65</v>
      </c>
      <c r="L3" s="118" t="s">
        <v>129</v>
      </c>
      <c r="M3" s="122">
        <v>0.1</v>
      </c>
      <c r="N3" s="17">
        <f>M3*J3</f>
        <v>1.3</v>
      </c>
      <c r="O3" s="16">
        <v>1.66E-2</v>
      </c>
      <c r="P3" s="17">
        <f>O3*K3</f>
        <v>1.079</v>
      </c>
      <c r="Q3" s="18"/>
    </row>
    <row r="4" spans="1:17" ht="26.25" thickBot="1" x14ac:dyDescent="0.3">
      <c r="A4" s="157">
        <v>2</v>
      </c>
      <c r="B4" s="164"/>
      <c r="C4" s="21" t="s">
        <v>19</v>
      </c>
      <c r="D4" s="152" t="s">
        <v>254</v>
      </c>
      <c r="E4" s="2" t="s">
        <v>16</v>
      </c>
      <c r="F4" s="2" t="s">
        <v>20</v>
      </c>
      <c r="G4" s="2" t="s">
        <v>18</v>
      </c>
      <c r="H4" s="36" t="s">
        <v>145</v>
      </c>
      <c r="I4" s="2" t="s">
        <v>112</v>
      </c>
      <c r="J4" s="4">
        <v>7</v>
      </c>
      <c r="K4" s="3">
        <f t="shared" ref="K4:K59" si="0">J4*5</f>
        <v>35</v>
      </c>
      <c r="L4" s="1" t="s">
        <v>129</v>
      </c>
      <c r="M4" s="11">
        <v>0.1</v>
      </c>
      <c r="N4" s="10">
        <f t="shared" ref="N4:N50" si="1">M4*J4</f>
        <v>0.70000000000000007</v>
      </c>
      <c r="O4" s="86">
        <v>3.4000000000000002E-2</v>
      </c>
      <c r="P4" s="10">
        <f t="shared" ref="P4:P50" si="2">O4*K4</f>
        <v>1.1900000000000002</v>
      </c>
      <c r="Q4" s="5"/>
    </row>
    <row r="5" spans="1:17" ht="15.75" thickBot="1" x14ac:dyDescent="0.3">
      <c r="A5" s="157">
        <v>3</v>
      </c>
      <c r="B5" s="164"/>
      <c r="C5" s="21" t="s">
        <v>197</v>
      </c>
      <c r="D5" s="38" t="s">
        <v>198</v>
      </c>
      <c r="E5" s="2" t="s">
        <v>16</v>
      </c>
      <c r="F5" s="2" t="s">
        <v>199</v>
      </c>
      <c r="G5" s="2" t="s">
        <v>136</v>
      </c>
      <c r="H5" s="36" t="s">
        <v>145</v>
      </c>
      <c r="I5" s="2" t="s">
        <v>200</v>
      </c>
      <c r="J5" s="4">
        <v>1</v>
      </c>
      <c r="K5" s="3">
        <f t="shared" si="0"/>
        <v>5</v>
      </c>
      <c r="L5" s="1" t="s">
        <v>201</v>
      </c>
      <c r="M5" s="11">
        <v>0.38</v>
      </c>
      <c r="N5" s="10">
        <f t="shared" si="1"/>
        <v>0.38</v>
      </c>
      <c r="O5" s="11">
        <v>0.38</v>
      </c>
      <c r="P5" s="10">
        <f t="shared" si="2"/>
        <v>1.9</v>
      </c>
      <c r="Q5" s="5"/>
    </row>
    <row r="6" spans="1:17" ht="15.75" thickBot="1" x14ac:dyDescent="0.3">
      <c r="A6" s="157">
        <v>4</v>
      </c>
      <c r="B6" s="164"/>
      <c r="C6" s="21" t="s">
        <v>21</v>
      </c>
      <c r="D6" s="38" t="s">
        <v>202</v>
      </c>
      <c r="E6" s="2" t="s">
        <v>16</v>
      </c>
      <c r="F6" s="2" t="s">
        <v>22</v>
      </c>
      <c r="G6" s="2" t="s">
        <v>23</v>
      </c>
      <c r="H6" s="36" t="s">
        <v>145</v>
      </c>
      <c r="I6" s="2" t="s">
        <v>113</v>
      </c>
      <c r="J6" s="4">
        <v>6</v>
      </c>
      <c r="K6" s="3">
        <f t="shared" si="0"/>
        <v>30</v>
      </c>
      <c r="L6" s="159" t="s">
        <v>129</v>
      </c>
      <c r="M6" s="11">
        <v>0.46</v>
      </c>
      <c r="N6" s="10">
        <f t="shared" si="1"/>
        <v>2.7600000000000002</v>
      </c>
      <c r="O6" s="11">
        <v>0.32</v>
      </c>
      <c r="P6" s="10">
        <f t="shared" si="2"/>
        <v>9.6</v>
      </c>
      <c r="Q6" s="5"/>
    </row>
    <row r="7" spans="1:17" ht="15.75" thickBot="1" x14ac:dyDescent="0.3">
      <c r="A7" s="157">
        <v>5</v>
      </c>
      <c r="B7" s="164"/>
      <c r="C7" s="21" t="s">
        <v>24</v>
      </c>
      <c r="D7" s="38" t="s">
        <v>25</v>
      </c>
      <c r="E7" s="2" t="s">
        <v>16</v>
      </c>
      <c r="F7" s="2" t="s">
        <v>26</v>
      </c>
      <c r="G7" s="2" t="s">
        <v>18</v>
      </c>
      <c r="H7" s="36" t="s">
        <v>145</v>
      </c>
      <c r="I7" s="2" t="s">
        <v>114</v>
      </c>
      <c r="J7" s="4">
        <v>2</v>
      </c>
      <c r="K7" s="3">
        <f t="shared" si="0"/>
        <v>10</v>
      </c>
      <c r="L7" s="1" t="s">
        <v>129</v>
      </c>
      <c r="M7" s="11">
        <v>0.39</v>
      </c>
      <c r="N7" s="10">
        <f t="shared" si="1"/>
        <v>0.78</v>
      </c>
      <c r="O7" s="11">
        <v>0.27</v>
      </c>
      <c r="P7" s="10">
        <f t="shared" si="2"/>
        <v>2.7</v>
      </c>
      <c r="Q7" s="5"/>
    </row>
    <row r="8" spans="1:17" ht="15.75" thickBot="1" x14ac:dyDescent="0.3">
      <c r="A8" s="157">
        <v>6</v>
      </c>
      <c r="B8" s="164"/>
      <c r="C8" s="28" t="s">
        <v>28</v>
      </c>
      <c r="D8" s="38" t="s">
        <v>29</v>
      </c>
      <c r="E8" s="29" t="s">
        <v>146</v>
      </c>
      <c r="F8" s="65" t="s">
        <v>30</v>
      </c>
      <c r="G8" s="2" t="s">
        <v>27</v>
      </c>
      <c r="H8" s="3" t="s">
        <v>139</v>
      </c>
      <c r="I8" s="2" t="s">
        <v>115</v>
      </c>
      <c r="J8" s="4">
        <v>2</v>
      </c>
      <c r="K8" s="3">
        <f t="shared" si="0"/>
        <v>10</v>
      </c>
      <c r="L8" s="1" t="s">
        <v>129</v>
      </c>
      <c r="M8" s="11">
        <v>1.05</v>
      </c>
      <c r="N8" s="10">
        <f t="shared" si="1"/>
        <v>2.1</v>
      </c>
      <c r="O8" s="11">
        <v>0.79800000000000004</v>
      </c>
      <c r="P8" s="10">
        <f t="shared" si="2"/>
        <v>7.98</v>
      </c>
      <c r="Q8" s="5"/>
    </row>
    <row r="9" spans="1:17" ht="15.75" thickBot="1" x14ac:dyDescent="0.3">
      <c r="A9" s="157">
        <v>7</v>
      </c>
      <c r="B9" s="164"/>
      <c r="C9" s="21" t="s">
        <v>255</v>
      </c>
      <c r="D9" s="38" t="s">
        <v>203</v>
      </c>
      <c r="E9" s="2" t="s">
        <v>16</v>
      </c>
      <c r="F9" s="2" t="s">
        <v>257</v>
      </c>
      <c r="G9" s="2" t="s">
        <v>136</v>
      </c>
      <c r="H9" s="36" t="s">
        <v>145</v>
      </c>
      <c r="I9" s="2" t="s">
        <v>256</v>
      </c>
      <c r="J9" s="4">
        <v>2</v>
      </c>
      <c r="K9" s="3">
        <f>J9*5</f>
        <v>10</v>
      </c>
      <c r="L9" s="159" t="s">
        <v>149</v>
      </c>
      <c r="M9" s="11">
        <v>0.1</v>
      </c>
      <c r="N9" s="10">
        <f>M9*J9</f>
        <v>0.2</v>
      </c>
      <c r="O9" s="11">
        <v>6.9000000000000006E-2</v>
      </c>
      <c r="P9" s="10">
        <f>O9*K9</f>
        <v>0.69000000000000006</v>
      </c>
      <c r="Q9" s="104"/>
    </row>
    <row r="10" spans="1:17" ht="15.75" thickBot="1" x14ac:dyDescent="0.3">
      <c r="A10" s="157">
        <v>8</v>
      </c>
      <c r="B10" s="165"/>
      <c r="C10" s="107" t="s">
        <v>226</v>
      </c>
      <c r="D10" s="153" t="s">
        <v>227</v>
      </c>
      <c r="E10" s="108" t="s">
        <v>228</v>
      </c>
      <c r="F10" s="108" t="s">
        <v>229</v>
      </c>
      <c r="G10" s="6" t="s">
        <v>245</v>
      </c>
      <c r="H10" s="109" t="s">
        <v>147</v>
      </c>
      <c r="I10" s="110" t="s">
        <v>243</v>
      </c>
      <c r="J10" s="111">
        <v>2</v>
      </c>
      <c r="K10" s="114">
        <f t="shared" si="0"/>
        <v>10</v>
      </c>
      <c r="L10" s="137" t="s">
        <v>129</v>
      </c>
      <c r="M10" s="112">
        <v>0.99</v>
      </c>
      <c r="N10" s="19">
        <f t="shared" si="1"/>
        <v>1.98</v>
      </c>
      <c r="O10" s="112">
        <v>0.751</v>
      </c>
      <c r="P10" s="19">
        <f t="shared" si="2"/>
        <v>7.51</v>
      </c>
      <c r="Q10" s="113"/>
    </row>
    <row r="11" spans="1:17" ht="15.75" thickBot="1" x14ac:dyDescent="0.3">
      <c r="A11" s="157">
        <v>9</v>
      </c>
      <c r="B11" s="168" t="s">
        <v>31</v>
      </c>
      <c r="C11" s="57" t="s">
        <v>32</v>
      </c>
      <c r="D11" s="123" t="s">
        <v>33</v>
      </c>
      <c r="E11" s="58" t="s">
        <v>34</v>
      </c>
      <c r="F11" s="58" t="s">
        <v>35</v>
      </c>
      <c r="G11" s="58" t="s">
        <v>132</v>
      </c>
      <c r="H11" s="59" t="s">
        <v>145</v>
      </c>
      <c r="I11" s="58" t="s">
        <v>142</v>
      </c>
      <c r="J11" s="60">
        <v>2</v>
      </c>
      <c r="K11" s="101">
        <f t="shared" si="0"/>
        <v>10</v>
      </c>
      <c r="L11" s="115" t="s">
        <v>129</v>
      </c>
      <c r="M11" s="102">
        <v>0.67</v>
      </c>
      <c r="N11" s="63">
        <f t="shared" si="1"/>
        <v>1.34</v>
      </c>
      <c r="O11" s="62">
        <v>0.59199999999999997</v>
      </c>
      <c r="P11" s="63">
        <f t="shared" si="2"/>
        <v>5.92</v>
      </c>
      <c r="Q11" s="64"/>
    </row>
    <row r="12" spans="1:17" ht="15.75" thickBot="1" x14ac:dyDescent="0.3">
      <c r="A12" s="157">
        <v>10</v>
      </c>
      <c r="B12" s="168"/>
      <c r="C12" s="21" t="s">
        <v>154</v>
      </c>
      <c r="D12" s="38" t="s">
        <v>36</v>
      </c>
      <c r="E12" s="2" t="s">
        <v>37</v>
      </c>
      <c r="F12" s="2" t="s">
        <v>38</v>
      </c>
      <c r="G12" s="2" t="s">
        <v>39</v>
      </c>
      <c r="H12" s="36" t="s">
        <v>145</v>
      </c>
      <c r="I12" s="2" t="s">
        <v>142</v>
      </c>
      <c r="J12" s="4">
        <v>1</v>
      </c>
      <c r="K12" s="3">
        <f t="shared" si="0"/>
        <v>5</v>
      </c>
      <c r="L12" s="1" t="s">
        <v>129</v>
      </c>
      <c r="M12" s="11">
        <v>0.27</v>
      </c>
      <c r="N12" s="10">
        <f t="shared" si="1"/>
        <v>0.27</v>
      </c>
      <c r="O12" s="11">
        <v>0.26</v>
      </c>
      <c r="P12" s="10">
        <f t="shared" si="2"/>
        <v>1.3</v>
      </c>
      <c r="Q12" s="5"/>
    </row>
    <row r="13" spans="1:17" ht="15.75" thickBot="1" x14ac:dyDescent="0.3">
      <c r="A13" s="157">
        <v>11</v>
      </c>
      <c r="B13" s="168"/>
      <c r="C13" s="82" t="s">
        <v>155</v>
      </c>
      <c r="D13" s="155" t="s">
        <v>156</v>
      </c>
      <c r="E13" s="83" t="s">
        <v>157</v>
      </c>
      <c r="F13" s="83" t="s">
        <v>158</v>
      </c>
      <c r="G13" s="83" t="s">
        <v>160</v>
      </c>
      <c r="H13" s="84" t="s">
        <v>145</v>
      </c>
      <c r="I13" s="83" t="s">
        <v>142</v>
      </c>
      <c r="J13" s="85">
        <v>1</v>
      </c>
      <c r="K13" s="101">
        <f t="shared" si="0"/>
        <v>5</v>
      </c>
      <c r="L13" s="117" t="s">
        <v>159</v>
      </c>
      <c r="M13" s="62">
        <v>0.56999999999999995</v>
      </c>
      <c r="N13" s="87">
        <f t="shared" si="1"/>
        <v>0.56999999999999995</v>
      </c>
      <c r="O13" s="86">
        <v>0.56999999999999995</v>
      </c>
      <c r="P13" s="87">
        <f t="shared" si="2"/>
        <v>2.8499999999999996</v>
      </c>
      <c r="Q13" s="88"/>
    </row>
    <row r="14" spans="1:17" ht="15.75" thickBot="1" x14ac:dyDescent="0.3">
      <c r="A14" s="157">
        <v>12</v>
      </c>
      <c r="B14" s="175" t="s">
        <v>223</v>
      </c>
      <c r="C14" s="20" t="s">
        <v>211</v>
      </c>
      <c r="D14" s="154" t="s">
        <v>212</v>
      </c>
      <c r="E14" s="13" t="s">
        <v>219</v>
      </c>
      <c r="F14" s="13" t="s">
        <v>213</v>
      </c>
      <c r="G14" s="13" t="s">
        <v>221</v>
      </c>
      <c r="H14" s="35" t="s">
        <v>145</v>
      </c>
      <c r="I14" s="13" t="s">
        <v>142</v>
      </c>
      <c r="J14" s="15">
        <v>1</v>
      </c>
      <c r="K14" s="14">
        <f t="shared" si="0"/>
        <v>5</v>
      </c>
      <c r="L14" s="118" t="s">
        <v>201</v>
      </c>
      <c r="M14" s="122">
        <v>0.31</v>
      </c>
      <c r="N14" s="17">
        <f t="shared" si="1"/>
        <v>0.31</v>
      </c>
      <c r="O14" s="16">
        <v>0.31</v>
      </c>
      <c r="P14" s="17">
        <f t="shared" si="2"/>
        <v>1.55</v>
      </c>
      <c r="Q14" s="18"/>
    </row>
    <row r="15" spans="1:17" ht="15.75" thickBot="1" x14ac:dyDescent="0.3">
      <c r="A15" s="157">
        <v>13</v>
      </c>
      <c r="B15" s="176"/>
      <c r="C15" s="66" t="s">
        <v>214</v>
      </c>
      <c r="D15" s="38" t="s">
        <v>215</v>
      </c>
      <c r="E15" s="2" t="s">
        <v>219</v>
      </c>
      <c r="F15" s="2" t="s">
        <v>216</v>
      </c>
      <c r="G15" s="2" t="s">
        <v>222</v>
      </c>
      <c r="H15" s="36" t="s">
        <v>145</v>
      </c>
      <c r="I15" s="2" t="s">
        <v>142</v>
      </c>
      <c r="J15" s="4">
        <v>1</v>
      </c>
      <c r="K15" s="3">
        <f t="shared" si="0"/>
        <v>5</v>
      </c>
      <c r="L15" s="1" t="s">
        <v>225</v>
      </c>
      <c r="M15" s="11">
        <v>0.25600000000000001</v>
      </c>
      <c r="N15" s="10">
        <f t="shared" si="1"/>
        <v>0.25600000000000001</v>
      </c>
      <c r="O15" s="11">
        <v>0.25600000000000001</v>
      </c>
      <c r="P15" s="10">
        <f t="shared" si="2"/>
        <v>1.28</v>
      </c>
      <c r="Q15" s="5"/>
    </row>
    <row r="16" spans="1:17" ht="15.75" thickBot="1" x14ac:dyDescent="0.3">
      <c r="A16" s="157">
        <v>14</v>
      </c>
      <c r="B16" s="176"/>
      <c r="C16" s="21" t="s">
        <v>217</v>
      </c>
      <c r="D16" s="38" t="s">
        <v>218</v>
      </c>
      <c r="E16" s="2" t="s">
        <v>219</v>
      </c>
      <c r="F16" s="2" t="s">
        <v>220</v>
      </c>
      <c r="G16" s="2" t="s">
        <v>221</v>
      </c>
      <c r="H16" s="36" t="s">
        <v>145</v>
      </c>
      <c r="I16" s="2" t="s">
        <v>142</v>
      </c>
      <c r="J16" s="4">
        <v>1</v>
      </c>
      <c r="K16" s="3">
        <f t="shared" si="0"/>
        <v>5</v>
      </c>
      <c r="L16" s="1" t="s">
        <v>201</v>
      </c>
      <c r="M16" s="11">
        <v>0.28000000000000003</v>
      </c>
      <c r="N16" s="10">
        <f t="shared" si="1"/>
        <v>0.28000000000000003</v>
      </c>
      <c r="O16" s="11">
        <v>0.28000000000000003</v>
      </c>
      <c r="P16" s="10">
        <f t="shared" si="2"/>
        <v>1.4000000000000001</v>
      </c>
      <c r="Q16" s="5"/>
    </row>
    <row r="17" spans="1:17" ht="15.75" thickBot="1" x14ac:dyDescent="0.3">
      <c r="A17" s="157">
        <v>15</v>
      </c>
      <c r="B17" s="177"/>
      <c r="C17" s="119" t="s">
        <v>40</v>
      </c>
      <c r="D17" s="156" t="s">
        <v>260</v>
      </c>
      <c r="E17" s="110" t="s">
        <v>41</v>
      </c>
      <c r="F17" s="110" t="s">
        <v>42</v>
      </c>
      <c r="G17" s="110" t="s">
        <v>133</v>
      </c>
      <c r="H17" s="109" t="s">
        <v>145</v>
      </c>
      <c r="I17" s="110" t="s">
        <v>142</v>
      </c>
      <c r="J17" s="111">
        <v>2</v>
      </c>
      <c r="K17" s="114">
        <f t="shared" si="0"/>
        <v>10</v>
      </c>
      <c r="L17" s="120" t="s">
        <v>129</v>
      </c>
      <c r="M17" s="62">
        <v>0.37</v>
      </c>
      <c r="N17" s="116">
        <f t="shared" si="1"/>
        <v>0.74</v>
      </c>
      <c r="O17" s="112">
        <v>0.29299999999999998</v>
      </c>
      <c r="P17" s="116">
        <f t="shared" si="2"/>
        <v>2.9299999999999997</v>
      </c>
      <c r="Q17" s="113"/>
    </row>
    <row r="18" spans="1:17" ht="15.75" thickBot="1" x14ac:dyDescent="0.3">
      <c r="A18" s="157">
        <v>16</v>
      </c>
      <c r="B18" s="163" t="s">
        <v>43</v>
      </c>
      <c r="C18" s="20" t="s">
        <v>44</v>
      </c>
      <c r="D18" s="154" t="s">
        <v>230</v>
      </c>
      <c r="E18" s="13" t="s">
        <v>146</v>
      </c>
      <c r="F18" s="13" t="s">
        <v>45</v>
      </c>
      <c r="G18" s="13" t="s">
        <v>134</v>
      </c>
      <c r="H18" s="35" t="s">
        <v>145</v>
      </c>
      <c r="I18" s="13" t="s">
        <v>116</v>
      </c>
      <c r="J18" s="15">
        <v>2</v>
      </c>
      <c r="K18" s="67">
        <f t="shared" si="0"/>
        <v>10</v>
      </c>
      <c r="L18" s="118" t="s">
        <v>129</v>
      </c>
      <c r="M18" s="122">
        <v>2.4900000000000002</v>
      </c>
      <c r="N18" s="17">
        <f t="shared" si="1"/>
        <v>4.9800000000000004</v>
      </c>
      <c r="O18" s="16">
        <v>2.4900000000000002</v>
      </c>
      <c r="P18" s="17">
        <f t="shared" si="2"/>
        <v>24.900000000000002</v>
      </c>
      <c r="Q18" s="18"/>
    </row>
    <row r="19" spans="1:17" ht="15.75" thickBot="1" x14ac:dyDescent="0.3">
      <c r="A19" s="157">
        <v>17</v>
      </c>
      <c r="B19" s="165"/>
      <c r="C19" s="22" t="s">
        <v>46</v>
      </c>
      <c r="D19" s="156" t="s">
        <v>47</v>
      </c>
      <c r="E19" s="6" t="s">
        <v>146</v>
      </c>
      <c r="F19" s="6" t="s">
        <v>48</v>
      </c>
      <c r="G19" s="6" t="s">
        <v>135</v>
      </c>
      <c r="H19" s="37" t="s">
        <v>145</v>
      </c>
      <c r="I19" s="6" t="s">
        <v>117</v>
      </c>
      <c r="J19" s="7">
        <v>1</v>
      </c>
      <c r="K19" s="8">
        <f t="shared" si="0"/>
        <v>5</v>
      </c>
      <c r="L19" s="161" t="s">
        <v>159</v>
      </c>
      <c r="M19" s="12">
        <v>1.17</v>
      </c>
      <c r="N19" s="19">
        <f t="shared" si="1"/>
        <v>1.17</v>
      </c>
      <c r="O19" s="12">
        <v>1.17</v>
      </c>
      <c r="P19" s="19">
        <f t="shared" si="2"/>
        <v>5.85</v>
      </c>
      <c r="Q19" s="9"/>
    </row>
    <row r="20" spans="1:17" ht="15.75" thickBot="1" x14ac:dyDescent="0.3">
      <c r="A20" s="157">
        <v>18</v>
      </c>
      <c r="B20" s="168" t="s">
        <v>49</v>
      </c>
      <c r="C20" s="96" t="s">
        <v>50</v>
      </c>
      <c r="D20" s="129" t="s">
        <v>51</v>
      </c>
      <c r="E20" s="98" t="s">
        <v>153</v>
      </c>
      <c r="F20" s="98" t="s">
        <v>52</v>
      </c>
      <c r="G20" s="98" t="s">
        <v>39</v>
      </c>
      <c r="H20" s="99" t="s">
        <v>145</v>
      </c>
      <c r="I20" s="98" t="s">
        <v>142</v>
      </c>
      <c r="J20" s="100">
        <v>2</v>
      </c>
      <c r="K20" s="101">
        <f t="shared" si="0"/>
        <v>10</v>
      </c>
      <c r="L20" s="132" t="s">
        <v>129</v>
      </c>
      <c r="M20" s="102">
        <v>0.14000000000000001</v>
      </c>
      <c r="N20" s="103">
        <f t="shared" si="1"/>
        <v>0.28000000000000003</v>
      </c>
      <c r="O20" s="102">
        <v>0.125</v>
      </c>
      <c r="P20" s="103">
        <f t="shared" si="2"/>
        <v>1.25</v>
      </c>
      <c r="Q20" s="104"/>
    </row>
    <row r="21" spans="1:17" ht="15.75" thickBot="1" x14ac:dyDescent="0.3">
      <c r="A21" s="157">
        <v>19</v>
      </c>
      <c r="B21" s="168"/>
      <c r="C21" s="21" t="s">
        <v>53</v>
      </c>
      <c r="D21" s="38" t="s">
        <v>204</v>
      </c>
      <c r="E21" s="2" t="s">
        <v>153</v>
      </c>
      <c r="F21" s="2" t="s">
        <v>55</v>
      </c>
      <c r="G21" s="2" t="s">
        <v>56</v>
      </c>
      <c r="H21" s="36" t="s">
        <v>145</v>
      </c>
      <c r="I21" s="2" t="s">
        <v>142</v>
      </c>
      <c r="J21" s="4">
        <v>1</v>
      </c>
      <c r="K21" s="3">
        <f t="shared" si="0"/>
        <v>5</v>
      </c>
      <c r="L21" s="1" t="s">
        <v>129</v>
      </c>
      <c r="M21" s="11">
        <v>0.16</v>
      </c>
      <c r="N21" s="10">
        <f t="shared" si="1"/>
        <v>0.16</v>
      </c>
      <c r="O21" s="11">
        <v>0.16</v>
      </c>
      <c r="P21" s="10">
        <f t="shared" si="2"/>
        <v>0.8</v>
      </c>
      <c r="Q21" s="5"/>
    </row>
    <row r="22" spans="1:17" ht="15.75" thickBot="1" x14ac:dyDescent="0.3">
      <c r="A22" s="157">
        <v>20</v>
      </c>
      <c r="B22" s="168"/>
      <c r="C22" s="96" t="s">
        <v>161</v>
      </c>
      <c r="D22" s="129" t="s">
        <v>54</v>
      </c>
      <c r="E22" s="98" t="s">
        <v>162</v>
      </c>
      <c r="F22" s="98" t="s">
        <v>163</v>
      </c>
      <c r="G22" s="98" t="s">
        <v>56</v>
      </c>
      <c r="H22" s="129" t="s">
        <v>145</v>
      </c>
      <c r="I22" s="130" t="s">
        <v>142</v>
      </c>
      <c r="J22" s="131">
        <v>1</v>
      </c>
      <c r="K22" s="101">
        <f>J22*5</f>
        <v>5</v>
      </c>
      <c r="L22" s="132" t="s">
        <v>129</v>
      </c>
      <c r="M22" s="62">
        <v>0.5</v>
      </c>
      <c r="N22" s="134">
        <f>M22*J22</f>
        <v>0.5</v>
      </c>
      <c r="O22" s="133">
        <v>0.5</v>
      </c>
      <c r="P22" s="134">
        <f>O22*K22</f>
        <v>2.5</v>
      </c>
      <c r="Q22" s="104"/>
    </row>
    <row r="23" spans="1:17" ht="15.75" thickBot="1" x14ac:dyDescent="0.3">
      <c r="A23" s="157">
        <v>21</v>
      </c>
      <c r="B23" s="163" t="s">
        <v>191</v>
      </c>
      <c r="C23" s="20" t="s">
        <v>67</v>
      </c>
      <c r="D23" s="154" t="s">
        <v>205</v>
      </c>
      <c r="E23" s="13" t="s">
        <v>58</v>
      </c>
      <c r="F23" s="13" t="s">
        <v>68</v>
      </c>
      <c r="G23" s="13" t="s">
        <v>137</v>
      </c>
      <c r="H23" s="35" t="s">
        <v>145</v>
      </c>
      <c r="I23" s="121" t="s">
        <v>122</v>
      </c>
      <c r="J23" s="135">
        <v>4</v>
      </c>
      <c r="K23" s="14">
        <f t="shared" ref="K23:K35" si="3">J23*5</f>
        <v>20</v>
      </c>
      <c r="L23" s="118" t="s">
        <v>129</v>
      </c>
      <c r="M23" s="122">
        <v>0.3</v>
      </c>
      <c r="N23" s="17">
        <f t="shared" ref="N23:N28" si="4">M23*J23</f>
        <v>1.2</v>
      </c>
      <c r="O23" s="16">
        <v>0.25800000000000001</v>
      </c>
      <c r="P23" s="17">
        <f t="shared" ref="P23:P28" si="5">O23*K23</f>
        <v>5.16</v>
      </c>
      <c r="Q23" s="18"/>
    </row>
    <row r="24" spans="1:17" ht="15.75" thickBot="1" x14ac:dyDescent="0.3">
      <c r="A24" s="157">
        <v>22</v>
      </c>
      <c r="B24" s="164"/>
      <c r="C24" s="21" t="s">
        <v>63</v>
      </c>
      <c r="D24" s="38" t="s">
        <v>261</v>
      </c>
      <c r="E24" s="2" t="s">
        <v>58</v>
      </c>
      <c r="F24" s="2" t="s">
        <v>64</v>
      </c>
      <c r="G24" s="2" t="s">
        <v>263</v>
      </c>
      <c r="H24" s="36" t="s">
        <v>145</v>
      </c>
      <c r="I24" s="83" t="s">
        <v>120</v>
      </c>
      <c r="J24" s="128">
        <v>1</v>
      </c>
      <c r="K24" s="61">
        <f t="shared" si="3"/>
        <v>5</v>
      </c>
      <c r="L24" s="1" t="s">
        <v>129</v>
      </c>
      <c r="M24" s="11">
        <v>0.13</v>
      </c>
      <c r="N24" s="87">
        <f t="shared" si="4"/>
        <v>0.13</v>
      </c>
      <c r="O24" s="86">
        <v>0.13</v>
      </c>
      <c r="P24" s="87">
        <f t="shared" si="5"/>
        <v>0.65</v>
      </c>
      <c r="Q24" s="5"/>
    </row>
    <row r="25" spans="1:17" ht="15.75" thickBot="1" x14ac:dyDescent="0.3">
      <c r="A25" s="157">
        <v>23</v>
      </c>
      <c r="B25" s="164"/>
      <c r="C25" s="21" t="s">
        <v>57</v>
      </c>
      <c r="D25" s="38" t="s">
        <v>206</v>
      </c>
      <c r="E25" s="2" t="s">
        <v>58</v>
      </c>
      <c r="F25" s="2" t="s">
        <v>59</v>
      </c>
      <c r="G25" s="2" t="s">
        <v>264</v>
      </c>
      <c r="H25" s="36" t="s">
        <v>145</v>
      </c>
      <c r="I25" s="83" t="s">
        <v>118</v>
      </c>
      <c r="J25" s="128">
        <v>7</v>
      </c>
      <c r="K25" s="61">
        <f t="shared" si="3"/>
        <v>35</v>
      </c>
      <c r="L25" s="1" t="s">
        <v>129</v>
      </c>
      <c r="M25" s="11">
        <v>0.1</v>
      </c>
      <c r="N25" s="10">
        <f t="shared" si="4"/>
        <v>0.70000000000000007</v>
      </c>
      <c r="O25" s="11">
        <v>5.8000000000000003E-2</v>
      </c>
      <c r="P25" s="10">
        <f t="shared" si="5"/>
        <v>2.0300000000000002</v>
      </c>
      <c r="Q25" s="34"/>
    </row>
    <row r="26" spans="1:17" ht="15.75" thickBot="1" x14ac:dyDescent="0.3">
      <c r="A26" s="157">
        <v>24</v>
      </c>
      <c r="B26" s="164"/>
      <c r="C26" s="21" t="s">
        <v>69</v>
      </c>
      <c r="D26" s="38" t="s">
        <v>61</v>
      </c>
      <c r="E26" s="2" t="s">
        <v>58</v>
      </c>
      <c r="F26" s="2" t="s">
        <v>70</v>
      </c>
      <c r="G26" s="2" t="s">
        <v>137</v>
      </c>
      <c r="H26" s="36" t="s">
        <v>145</v>
      </c>
      <c r="I26" s="83" t="s">
        <v>123</v>
      </c>
      <c r="J26" s="128">
        <v>1</v>
      </c>
      <c r="K26" s="61">
        <f t="shared" si="3"/>
        <v>5</v>
      </c>
      <c r="L26" s="1" t="s">
        <v>129</v>
      </c>
      <c r="M26" s="11">
        <v>0.1</v>
      </c>
      <c r="N26" s="10">
        <f t="shared" si="4"/>
        <v>0.1</v>
      </c>
      <c r="O26" s="11">
        <v>0.1</v>
      </c>
      <c r="P26" s="10">
        <f t="shared" si="5"/>
        <v>0.5</v>
      </c>
      <c r="Q26" s="34"/>
    </row>
    <row r="27" spans="1:17" ht="15.75" thickBot="1" x14ac:dyDescent="0.3">
      <c r="A27" s="157">
        <v>25</v>
      </c>
      <c r="B27" s="164"/>
      <c r="C27" s="21" t="s">
        <v>169</v>
      </c>
      <c r="D27" s="38" t="s">
        <v>207</v>
      </c>
      <c r="E27" s="2" t="s">
        <v>58</v>
      </c>
      <c r="F27" s="2" t="s">
        <v>170</v>
      </c>
      <c r="G27" s="2" t="s">
        <v>109</v>
      </c>
      <c r="H27" s="36" t="s">
        <v>145</v>
      </c>
      <c r="I27" s="83" t="s">
        <v>171</v>
      </c>
      <c r="J27" s="128">
        <v>3</v>
      </c>
      <c r="K27" s="61">
        <f t="shared" si="3"/>
        <v>15</v>
      </c>
      <c r="L27" s="1" t="s">
        <v>129</v>
      </c>
      <c r="M27" s="11">
        <v>0.1</v>
      </c>
      <c r="N27" s="10">
        <f t="shared" si="4"/>
        <v>0.30000000000000004</v>
      </c>
      <c r="O27" s="11">
        <v>4.9000000000000002E-2</v>
      </c>
      <c r="P27" s="10">
        <f t="shared" si="5"/>
        <v>0.73499999999999999</v>
      </c>
      <c r="Q27" s="5"/>
    </row>
    <row r="28" spans="1:17" ht="15.75" thickBot="1" x14ac:dyDescent="0.3">
      <c r="A28" s="157">
        <v>26</v>
      </c>
      <c r="B28" s="164"/>
      <c r="C28" s="21" t="s">
        <v>65</v>
      </c>
      <c r="D28" s="38" t="s">
        <v>208</v>
      </c>
      <c r="E28" s="2" t="s">
        <v>58</v>
      </c>
      <c r="F28" s="2" t="s">
        <v>66</v>
      </c>
      <c r="G28" s="2" t="s">
        <v>265</v>
      </c>
      <c r="H28" s="36" t="s">
        <v>145</v>
      </c>
      <c r="I28" s="83" t="s">
        <v>121</v>
      </c>
      <c r="J28" s="128">
        <v>1</v>
      </c>
      <c r="K28" s="61">
        <f t="shared" si="3"/>
        <v>5</v>
      </c>
      <c r="L28" s="1" t="s">
        <v>129</v>
      </c>
      <c r="M28" s="11">
        <v>0.11</v>
      </c>
      <c r="N28" s="10">
        <f t="shared" si="4"/>
        <v>0.11</v>
      </c>
      <c r="O28" s="11">
        <v>0.11</v>
      </c>
      <c r="P28" s="10">
        <f t="shared" si="5"/>
        <v>0.55000000000000004</v>
      </c>
      <c r="Q28" s="5"/>
    </row>
    <row r="29" spans="1:17" ht="15.75" thickBot="1" x14ac:dyDescent="0.3">
      <c r="A29" s="157">
        <v>27</v>
      </c>
      <c r="B29" s="164"/>
      <c r="C29" s="21" t="s">
        <v>60</v>
      </c>
      <c r="D29" s="38" t="s">
        <v>165</v>
      </c>
      <c r="E29" s="2" t="s">
        <v>58</v>
      </c>
      <c r="F29" s="2" t="s">
        <v>62</v>
      </c>
      <c r="G29" s="2" t="s">
        <v>136</v>
      </c>
      <c r="H29" s="36" t="s">
        <v>145</v>
      </c>
      <c r="I29" s="83" t="s">
        <v>119</v>
      </c>
      <c r="J29" s="128">
        <v>1</v>
      </c>
      <c r="K29" s="61">
        <f t="shared" si="3"/>
        <v>5</v>
      </c>
      <c r="L29" s="1" t="s">
        <v>129</v>
      </c>
      <c r="M29" s="11">
        <v>0.1</v>
      </c>
      <c r="N29" s="10">
        <f t="shared" ref="N29:N35" si="6">M29*J29</f>
        <v>0.1</v>
      </c>
      <c r="O29" s="11">
        <v>0.1</v>
      </c>
      <c r="P29" s="10">
        <f t="shared" si="2"/>
        <v>0.5</v>
      </c>
      <c r="Q29" s="5"/>
    </row>
    <row r="30" spans="1:17" ht="15.75" thickBot="1" x14ac:dyDescent="0.3">
      <c r="A30" s="157">
        <v>28</v>
      </c>
      <c r="B30" s="164"/>
      <c r="C30" s="21" t="s">
        <v>164</v>
      </c>
      <c r="D30" s="38" t="s">
        <v>209</v>
      </c>
      <c r="E30" s="2" t="s">
        <v>58</v>
      </c>
      <c r="F30" s="2" t="s">
        <v>166</v>
      </c>
      <c r="G30" s="2" t="s">
        <v>136</v>
      </c>
      <c r="H30" s="36" t="s">
        <v>145</v>
      </c>
      <c r="I30" s="83" t="s">
        <v>167</v>
      </c>
      <c r="J30" s="128">
        <v>1</v>
      </c>
      <c r="K30" s="61">
        <f t="shared" si="3"/>
        <v>5</v>
      </c>
      <c r="L30" s="1" t="s">
        <v>129</v>
      </c>
      <c r="M30" s="11">
        <v>0.1</v>
      </c>
      <c r="N30" s="32">
        <f t="shared" si="6"/>
        <v>0.1</v>
      </c>
      <c r="O30" s="31">
        <v>0.1</v>
      </c>
      <c r="P30" s="32">
        <f t="shared" si="2"/>
        <v>0.5</v>
      </c>
      <c r="Q30" s="5"/>
    </row>
    <row r="31" spans="1:17" ht="15.75" thickBot="1" x14ac:dyDescent="0.3">
      <c r="A31" s="157">
        <v>29</v>
      </c>
      <c r="B31" s="164"/>
      <c r="C31" s="21" t="s">
        <v>232</v>
      </c>
      <c r="D31" s="38" t="s">
        <v>210</v>
      </c>
      <c r="E31" s="2" t="s">
        <v>58</v>
      </c>
      <c r="F31" s="2" t="s">
        <v>233</v>
      </c>
      <c r="G31" s="2" t="s">
        <v>136</v>
      </c>
      <c r="H31" s="36" t="s">
        <v>145</v>
      </c>
      <c r="I31" s="83" t="s">
        <v>231</v>
      </c>
      <c r="J31" s="128">
        <v>1</v>
      </c>
      <c r="K31" s="61">
        <f t="shared" si="3"/>
        <v>5</v>
      </c>
      <c r="L31" s="1" t="s">
        <v>201</v>
      </c>
      <c r="M31" s="11">
        <v>0.67</v>
      </c>
      <c r="N31" s="32">
        <f t="shared" si="6"/>
        <v>0.67</v>
      </c>
      <c r="O31" s="31">
        <v>0.67</v>
      </c>
      <c r="P31" s="32">
        <f t="shared" si="2"/>
        <v>3.35</v>
      </c>
      <c r="Q31" s="5"/>
    </row>
    <row r="32" spans="1:17" ht="15.75" thickBot="1" x14ac:dyDescent="0.3">
      <c r="A32" s="157">
        <v>30</v>
      </c>
      <c r="B32" s="164"/>
      <c r="C32" s="21" t="s">
        <v>150</v>
      </c>
      <c r="D32" s="38" t="s">
        <v>71</v>
      </c>
      <c r="E32" s="2" t="s">
        <v>168</v>
      </c>
      <c r="F32" s="2" t="s">
        <v>151</v>
      </c>
      <c r="G32" s="2" t="s">
        <v>137</v>
      </c>
      <c r="H32" s="36" t="s">
        <v>145</v>
      </c>
      <c r="I32" s="83" t="s">
        <v>124</v>
      </c>
      <c r="J32" s="128">
        <v>1</v>
      </c>
      <c r="K32" s="61">
        <f t="shared" si="3"/>
        <v>5</v>
      </c>
      <c r="L32" s="1" t="s">
        <v>129</v>
      </c>
      <c r="M32" s="11">
        <v>0.92</v>
      </c>
      <c r="N32" s="32">
        <f t="shared" si="6"/>
        <v>0.92</v>
      </c>
      <c r="O32" s="31">
        <v>0.92</v>
      </c>
      <c r="P32" s="32">
        <f t="shared" si="2"/>
        <v>4.6000000000000005</v>
      </c>
      <c r="Q32" s="34"/>
    </row>
    <row r="33" spans="1:17" ht="15.75" thickBot="1" x14ac:dyDescent="0.3">
      <c r="A33" s="157">
        <v>31</v>
      </c>
      <c r="B33" s="164"/>
      <c r="C33" s="21" t="s">
        <v>72</v>
      </c>
      <c r="D33" s="38" t="s">
        <v>73</v>
      </c>
      <c r="E33" s="2" t="s">
        <v>58</v>
      </c>
      <c r="F33" s="2" t="s">
        <v>74</v>
      </c>
      <c r="G33" s="2" t="s">
        <v>266</v>
      </c>
      <c r="H33" s="36" t="s">
        <v>145</v>
      </c>
      <c r="I33" s="83" t="s">
        <v>125</v>
      </c>
      <c r="J33" s="128">
        <v>1</v>
      </c>
      <c r="K33" s="61">
        <f t="shared" si="3"/>
        <v>5</v>
      </c>
      <c r="L33" s="1" t="s">
        <v>129</v>
      </c>
      <c r="M33" s="11">
        <v>0.1</v>
      </c>
      <c r="N33" s="10">
        <f t="shared" si="6"/>
        <v>0.1</v>
      </c>
      <c r="O33" s="11">
        <v>0.1</v>
      </c>
      <c r="P33" s="10">
        <f t="shared" si="2"/>
        <v>0.5</v>
      </c>
      <c r="Q33" s="5"/>
    </row>
    <row r="34" spans="1:17" ht="15.75" thickBot="1" x14ac:dyDescent="0.3">
      <c r="A34" s="157">
        <v>32</v>
      </c>
      <c r="B34" s="164"/>
      <c r="C34" s="21" t="s">
        <v>262</v>
      </c>
      <c r="D34" s="38" t="s">
        <v>75</v>
      </c>
      <c r="E34" s="2" t="s">
        <v>58</v>
      </c>
      <c r="F34" s="2" t="s">
        <v>76</v>
      </c>
      <c r="G34" s="2" t="s">
        <v>136</v>
      </c>
      <c r="H34" s="36" t="s">
        <v>145</v>
      </c>
      <c r="I34" s="83" t="s">
        <v>126</v>
      </c>
      <c r="J34" s="128">
        <v>1</v>
      </c>
      <c r="K34" s="61">
        <f t="shared" si="3"/>
        <v>5</v>
      </c>
      <c r="L34" s="1" t="s">
        <v>129</v>
      </c>
      <c r="M34" s="11">
        <v>0.1</v>
      </c>
      <c r="N34" s="10">
        <f t="shared" si="6"/>
        <v>0.1</v>
      </c>
      <c r="O34" s="11">
        <v>0.1</v>
      </c>
      <c r="P34" s="10">
        <f t="shared" si="2"/>
        <v>0.5</v>
      </c>
      <c r="Q34" s="5"/>
    </row>
    <row r="35" spans="1:17" ht="15.75" thickBot="1" x14ac:dyDescent="0.3">
      <c r="A35" s="157">
        <v>33</v>
      </c>
      <c r="B35" s="165"/>
      <c r="C35" s="22" t="s">
        <v>77</v>
      </c>
      <c r="D35" s="153" t="s">
        <v>78</v>
      </c>
      <c r="E35" s="6" t="s">
        <v>58</v>
      </c>
      <c r="F35" s="6" t="s">
        <v>79</v>
      </c>
      <c r="G35" s="6" t="s">
        <v>267</v>
      </c>
      <c r="H35" s="37" t="s">
        <v>145</v>
      </c>
      <c r="I35" s="6" t="s">
        <v>127</v>
      </c>
      <c r="J35" s="136">
        <v>4</v>
      </c>
      <c r="K35" s="114">
        <f t="shared" si="3"/>
        <v>20</v>
      </c>
      <c r="L35" s="137" t="s">
        <v>129</v>
      </c>
      <c r="M35" s="62">
        <v>0.1</v>
      </c>
      <c r="N35" s="19">
        <f t="shared" si="6"/>
        <v>0.4</v>
      </c>
      <c r="O35" s="12">
        <v>1.7000000000000001E-2</v>
      </c>
      <c r="P35" s="19">
        <f t="shared" si="2"/>
        <v>0.34</v>
      </c>
      <c r="Q35" s="9"/>
    </row>
    <row r="36" spans="1:17" ht="15.75" thickBot="1" x14ac:dyDescent="0.3">
      <c r="A36" s="157">
        <v>34</v>
      </c>
      <c r="B36" s="78" t="s">
        <v>80</v>
      </c>
      <c r="C36" s="96" t="s">
        <v>172</v>
      </c>
      <c r="D36" s="97" t="s">
        <v>81</v>
      </c>
      <c r="E36" s="98" t="s">
        <v>146</v>
      </c>
      <c r="F36" s="98" t="s">
        <v>173</v>
      </c>
      <c r="G36" s="98" t="s">
        <v>174</v>
      </c>
      <c r="H36" s="99" t="s">
        <v>145</v>
      </c>
      <c r="I36" s="98" t="s">
        <v>142</v>
      </c>
      <c r="J36" s="100">
        <v>1</v>
      </c>
      <c r="K36" s="101">
        <f t="shared" si="0"/>
        <v>5</v>
      </c>
      <c r="L36" s="132" t="s">
        <v>129</v>
      </c>
      <c r="M36" s="16">
        <v>1.01</v>
      </c>
      <c r="N36" s="103">
        <f t="shared" si="1"/>
        <v>1.01</v>
      </c>
      <c r="O36" s="102">
        <v>1.01</v>
      </c>
      <c r="P36" s="103">
        <f t="shared" si="2"/>
        <v>5.05</v>
      </c>
      <c r="Q36" s="104"/>
    </row>
    <row r="37" spans="1:17" ht="15.75" thickBot="1" x14ac:dyDescent="0.3">
      <c r="A37" s="157">
        <v>35</v>
      </c>
      <c r="B37" s="163" t="s">
        <v>82</v>
      </c>
      <c r="C37" s="50" t="s">
        <v>83</v>
      </c>
      <c r="D37" s="39" t="s">
        <v>84</v>
      </c>
      <c r="E37" s="39" t="s">
        <v>146</v>
      </c>
      <c r="F37" s="13" t="s">
        <v>258</v>
      </c>
      <c r="G37" s="13" t="s">
        <v>85</v>
      </c>
      <c r="H37" s="39" t="s">
        <v>145</v>
      </c>
      <c r="I37" s="39" t="s">
        <v>142</v>
      </c>
      <c r="J37" s="51">
        <v>1</v>
      </c>
      <c r="K37" s="67">
        <f t="shared" si="0"/>
        <v>5</v>
      </c>
      <c r="L37" s="118" t="s">
        <v>129</v>
      </c>
      <c r="M37" s="122">
        <v>4.4379</v>
      </c>
      <c r="N37" s="53">
        <f t="shared" si="1"/>
        <v>4.4379</v>
      </c>
      <c r="O37" s="52">
        <v>4.4379</v>
      </c>
      <c r="P37" s="53">
        <f t="shared" si="2"/>
        <v>22.189499999999999</v>
      </c>
      <c r="Q37" s="54"/>
    </row>
    <row r="38" spans="1:17" ht="15.75" thickBot="1" x14ac:dyDescent="0.3">
      <c r="A38" s="157">
        <v>36</v>
      </c>
      <c r="B38" s="166"/>
      <c r="C38" s="21" t="s">
        <v>90</v>
      </c>
      <c r="D38" s="40" t="s">
        <v>87</v>
      </c>
      <c r="E38" s="2" t="s">
        <v>175</v>
      </c>
      <c r="F38" s="2" t="s">
        <v>92</v>
      </c>
      <c r="G38" s="2" t="s">
        <v>102</v>
      </c>
      <c r="H38" s="36" t="s">
        <v>145</v>
      </c>
      <c r="I38" s="2" t="s">
        <v>142</v>
      </c>
      <c r="J38" s="4">
        <v>1</v>
      </c>
      <c r="K38" s="3">
        <f>J38*5</f>
        <v>5</v>
      </c>
      <c r="L38" s="1" t="s">
        <v>129</v>
      </c>
      <c r="M38" s="11">
        <v>1.03</v>
      </c>
      <c r="N38" s="10">
        <f>M38*J38</f>
        <v>1.03</v>
      </c>
      <c r="O38" s="11">
        <v>1.03</v>
      </c>
      <c r="P38" s="10">
        <f>O38*K38</f>
        <v>5.15</v>
      </c>
      <c r="Q38" s="138"/>
    </row>
    <row r="39" spans="1:17" ht="15.75" thickBot="1" x14ac:dyDescent="0.3">
      <c r="A39" s="157">
        <v>37</v>
      </c>
      <c r="B39" s="164"/>
      <c r="C39" s="28" t="s">
        <v>86</v>
      </c>
      <c r="D39" s="41" t="s">
        <v>91</v>
      </c>
      <c r="E39" s="29" t="s">
        <v>88</v>
      </c>
      <c r="F39" s="29" t="s">
        <v>89</v>
      </c>
      <c r="G39" s="2" t="s">
        <v>94</v>
      </c>
      <c r="H39" s="36" t="s">
        <v>145</v>
      </c>
      <c r="I39" s="29" t="s">
        <v>142</v>
      </c>
      <c r="J39" s="30">
        <v>1</v>
      </c>
      <c r="K39" s="3">
        <f t="shared" si="0"/>
        <v>5</v>
      </c>
      <c r="L39" s="1" t="s">
        <v>152</v>
      </c>
      <c r="M39" s="11">
        <v>3.71</v>
      </c>
      <c r="N39" s="32">
        <f t="shared" si="1"/>
        <v>3.71</v>
      </c>
      <c r="O39" s="31">
        <v>3.71</v>
      </c>
      <c r="P39" s="32">
        <f t="shared" si="2"/>
        <v>18.55</v>
      </c>
      <c r="Q39" s="33"/>
    </row>
    <row r="40" spans="1:17" ht="15.75" thickBot="1" x14ac:dyDescent="0.3">
      <c r="A40" s="157">
        <v>38</v>
      </c>
      <c r="B40" s="164"/>
      <c r="C40" s="21" t="s">
        <v>176</v>
      </c>
      <c r="D40" s="40" t="s">
        <v>93</v>
      </c>
      <c r="E40" s="2" t="s">
        <v>177</v>
      </c>
      <c r="F40" s="2" t="s">
        <v>178</v>
      </c>
      <c r="G40" s="2" t="s">
        <v>179</v>
      </c>
      <c r="H40" s="36" t="s">
        <v>145</v>
      </c>
      <c r="I40" s="2"/>
      <c r="J40" s="4">
        <v>1</v>
      </c>
      <c r="K40" s="3">
        <f t="shared" si="0"/>
        <v>5</v>
      </c>
      <c r="L40" s="1" t="s">
        <v>129</v>
      </c>
      <c r="M40" s="11">
        <v>4.0199999999999996</v>
      </c>
      <c r="N40" s="10">
        <f t="shared" si="1"/>
        <v>4.0199999999999996</v>
      </c>
      <c r="O40" s="11">
        <v>4.0199999999999996</v>
      </c>
      <c r="P40" s="10">
        <f t="shared" si="2"/>
        <v>20.099999999999998</v>
      </c>
      <c r="Q40" s="5"/>
    </row>
    <row r="41" spans="1:17" ht="15.75" thickBot="1" x14ac:dyDescent="0.3">
      <c r="A41" s="157">
        <v>39</v>
      </c>
      <c r="B41" s="164"/>
      <c r="C41" s="28" t="s">
        <v>95</v>
      </c>
      <c r="D41" s="41" t="s">
        <v>96</v>
      </c>
      <c r="E41" s="56" t="s">
        <v>146</v>
      </c>
      <c r="F41" s="29" t="s">
        <v>97</v>
      </c>
      <c r="G41" s="2" t="s">
        <v>98</v>
      </c>
      <c r="H41" s="36" t="s">
        <v>145</v>
      </c>
      <c r="I41" s="29" t="s">
        <v>142</v>
      </c>
      <c r="J41" s="30">
        <v>1</v>
      </c>
      <c r="K41" s="3">
        <f t="shared" si="0"/>
        <v>5</v>
      </c>
      <c r="L41" s="1" t="s">
        <v>140</v>
      </c>
      <c r="M41" s="11">
        <v>0.46600000000000003</v>
      </c>
      <c r="N41" s="32">
        <f t="shared" si="1"/>
        <v>0.46600000000000003</v>
      </c>
      <c r="O41" s="31">
        <v>0.46600000000000003</v>
      </c>
      <c r="P41" s="32">
        <f t="shared" si="2"/>
        <v>2.33</v>
      </c>
      <c r="Q41" s="33"/>
    </row>
    <row r="42" spans="1:17" ht="15.75" thickBot="1" x14ac:dyDescent="0.3">
      <c r="A42" s="157">
        <v>40</v>
      </c>
      <c r="B42" s="164"/>
      <c r="C42" s="82" t="s">
        <v>99</v>
      </c>
      <c r="D42" s="139" t="s">
        <v>282</v>
      </c>
      <c r="E42" s="83" t="s">
        <v>100</v>
      </c>
      <c r="F42" s="83" t="s">
        <v>101</v>
      </c>
      <c r="G42" s="83" t="s">
        <v>94</v>
      </c>
      <c r="H42" s="84" t="s">
        <v>145</v>
      </c>
      <c r="I42" s="83" t="s">
        <v>142</v>
      </c>
      <c r="J42" s="85">
        <v>5</v>
      </c>
      <c r="K42" s="3">
        <f t="shared" si="0"/>
        <v>25</v>
      </c>
      <c r="L42" s="117" t="s">
        <v>129</v>
      </c>
      <c r="M42" s="11">
        <v>0.52</v>
      </c>
      <c r="N42" s="87">
        <f t="shared" si="1"/>
        <v>2.6</v>
      </c>
      <c r="O42" s="86">
        <v>0.3876</v>
      </c>
      <c r="P42" s="87">
        <f t="shared" si="2"/>
        <v>9.69</v>
      </c>
      <c r="Q42" s="88"/>
    </row>
    <row r="43" spans="1:17" ht="15.75" thickBot="1" x14ac:dyDescent="0.3">
      <c r="A43" s="157">
        <v>41</v>
      </c>
      <c r="B43" s="164"/>
      <c r="C43" s="21" t="s">
        <v>184</v>
      </c>
      <c r="D43" s="40" t="s">
        <v>103</v>
      </c>
      <c r="E43" s="2" t="s">
        <v>192</v>
      </c>
      <c r="F43" s="2" t="s">
        <v>104</v>
      </c>
      <c r="G43" s="2" t="s">
        <v>138</v>
      </c>
      <c r="H43" s="36" t="s">
        <v>145</v>
      </c>
      <c r="I43" s="2" t="s">
        <v>142</v>
      </c>
      <c r="J43" s="4">
        <v>1</v>
      </c>
      <c r="K43" s="3">
        <f>J43*5</f>
        <v>5</v>
      </c>
      <c r="L43" s="1" t="s">
        <v>129</v>
      </c>
      <c r="M43" s="11">
        <v>8.1999999999999993</v>
      </c>
      <c r="N43" s="10">
        <f>M43*J43</f>
        <v>8.1999999999999993</v>
      </c>
      <c r="O43" s="11">
        <v>8.1999999999999993</v>
      </c>
      <c r="P43" s="10">
        <f>O43*K43</f>
        <v>41</v>
      </c>
      <c r="Q43" s="5"/>
    </row>
    <row r="44" spans="1:17" ht="15.75" thickBot="1" x14ac:dyDescent="0.3">
      <c r="A44" s="157">
        <v>42</v>
      </c>
      <c r="B44" s="164"/>
      <c r="C44" s="57" t="s">
        <v>180</v>
      </c>
      <c r="D44" s="140" t="s">
        <v>181</v>
      </c>
      <c r="E44" s="58" t="s">
        <v>182</v>
      </c>
      <c r="F44" s="58" t="s">
        <v>183</v>
      </c>
      <c r="G44" s="58" t="s">
        <v>188</v>
      </c>
      <c r="H44" s="59" t="s">
        <v>145</v>
      </c>
      <c r="I44" s="124"/>
      <c r="J44" s="125">
        <v>1</v>
      </c>
      <c r="K44" s="3">
        <f t="shared" si="0"/>
        <v>5</v>
      </c>
      <c r="L44" s="115" t="s">
        <v>129</v>
      </c>
      <c r="M44" s="11">
        <v>0.57999999999999996</v>
      </c>
      <c r="N44" s="127">
        <f t="shared" si="1"/>
        <v>0.57999999999999996</v>
      </c>
      <c r="O44" s="126">
        <v>0.57999999999999996</v>
      </c>
      <c r="P44" s="127">
        <f t="shared" si="2"/>
        <v>2.9</v>
      </c>
      <c r="Q44" s="141"/>
    </row>
    <row r="45" spans="1:17" ht="15.75" thickBot="1" x14ac:dyDescent="0.3">
      <c r="A45" s="157">
        <v>43</v>
      </c>
      <c r="B45" s="165"/>
      <c r="C45" s="22" t="s">
        <v>184</v>
      </c>
      <c r="D45" s="106" t="s">
        <v>185</v>
      </c>
      <c r="E45" s="6" t="s">
        <v>186</v>
      </c>
      <c r="F45" s="6" t="s">
        <v>187</v>
      </c>
      <c r="G45" s="6" t="s">
        <v>189</v>
      </c>
      <c r="H45" s="37" t="s">
        <v>145</v>
      </c>
      <c r="I45" s="6"/>
      <c r="J45" s="7">
        <v>1</v>
      </c>
      <c r="K45" s="114">
        <f t="shared" si="0"/>
        <v>5</v>
      </c>
      <c r="L45" s="137" t="s">
        <v>129</v>
      </c>
      <c r="M45" s="62">
        <v>0.48</v>
      </c>
      <c r="N45" s="19">
        <f t="shared" si="1"/>
        <v>0.48</v>
      </c>
      <c r="O45" s="12">
        <v>0.48</v>
      </c>
      <c r="P45" s="19">
        <f t="shared" si="2"/>
        <v>2.4</v>
      </c>
      <c r="Q45" s="9"/>
    </row>
    <row r="46" spans="1:17" ht="15.75" thickBot="1" x14ac:dyDescent="0.3">
      <c r="A46" s="157">
        <v>44</v>
      </c>
      <c r="B46" s="163" t="s">
        <v>105</v>
      </c>
      <c r="C46" s="147" t="s">
        <v>268</v>
      </c>
      <c r="D46" s="105" t="s">
        <v>224</v>
      </c>
      <c r="E46" s="148" t="s">
        <v>269</v>
      </c>
      <c r="F46" s="149" t="s">
        <v>278</v>
      </c>
      <c r="G46" s="121" t="s">
        <v>277</v>
      </c>
      <c r="H46" s="36" t="s">
        <v>145</v>
      </c>
      <c r="I46" s="13" t="s">
        <v>142</v>
      </c>
      <c r="J46" s="135">
        <v>3</v>
      </c>
      <c r="K46" s="67">
        <f t="shared" si="0"/>
        <v>15</v>
      </c>
      <c r="L46" s="160" t="s">
        <v>129</v>
      </c>
      <c r="M46" s="122">
        <v>1.35</v>
      </c>
      <c r="N46" s="17">
        <f t="shared" si="1"/>
        <v>4.0500000000000007</v>
      </c>
      <c r="O46" s="16">
        <v>1.35</v>
      </c>
      <c r="P46" s="17">
        <f t="shared" si="2"/>
        <v>20.25</v>
      </c>
      <c r="Q46" s="18"/>
    </row>
    <row r="47" spans="1:17" ht="15.75" thickBot="1" x14ac:dyDescent="0.3">
      <c r="A47" s="157">
        <v>45</v>
      </c>
      <c r="B47" s="164"/>
      <c r="C47" s="28" t="s">
        <v>270</v>
      </c>
      <c r="D47" s="41" t="s">
        <v>271</v>
      </c>
      <c r="E47" s="56" t="s">
        <v>272</v>
      </c>
      <c r="F47" s="29" t="s">
        <v>279</v>
      </c>
      <c r="G47" s="2" t="s">
        <v>277</v>
      </c>
      <c r="H47" s="36" t="s">
        <v>145</v>
      </c>
      <c r="I47" s="2" t="s">
        <v>142</v>
      </c>
      <c r="J47" s="128">
        <v>2</v>
      </c>
      <c r="K47" s="3">
        <f t="shared" si="0"/>
        <v>10</v>
      </c>
      <c r="L47" s="159" t="s">
        <v>129</v>
      </c>
      <c r="M47" s="11">
        <v>0.99</v>
      </c>
      <c r="N47" s="10">
        <f t="shared" si="1"/>
        <v>1.98</v>
      </c>
      <c r="O47" s="11">
        <v>0.99</v>
      </c>
      <c r="P47" s="10">
        <f t="shared" si="2"/>
        <v>9.9</v>
      </c>
      <c r="Q47" s="5"/>
    </row>
    <row r="48" spans="1:17" ht="15.75" thickBot="1" x14ac:dyDescent="0.3">
      <c r="A48" s="157">
        <v>46</v>
      </c>
      <c r="B48" s="164"/>
      <c r="C48" s="28" t="s">
        <v>273</v>
      </c>
      <c r="D48" s="41" t="s">
        <v>283</v>
      </c>
      <c r="E48" s="56" t="s">
        <v>274</v>
      </c>
      <c r="F48" s="29" t="s">
        <v>280</v>
      </c>
      <c r="G48" s="2" t="s">
        <v>277</v>
      </c>
      <c r="H48" s="36" t="s">
        <v>145</v>
      </c>
      <c r="I48" s="2" t="s">
        <v>142</v>
      </c>
      <c r="J48" s="128">
        <v>6</v>
      </c>
      <c r="K48" s="3">
        <f t="shared" si="0"/>
        <v>30</v>
      </c>
      <c r="L48" s="159" t="s">
        <v>129</v>
      </c>
      <c r="M48" s="11">
        <v>0.63</v>
      </c>
      <c r="N48" s="10">
        <f t="shared" si="1"/>
        <v>3.7800000000000002</v>
      </c>
      <c r="O48" s="11">
        <v>0.63</v>
      </c>
      <c r="P48" s="10">
        <f t="shared" si="2"/>
        <v>18.899999999999999</v>
      </c>
      <c r="Q48" s="5"/>
    </row>
    <row r="49" spans="1:17" ht="15.75" thickBot="1" x14ac:dyDescent="0.3">
      <c r="A49" s="157">
        <v>47</v>
      </c>
      <c r="B49" s="164"/>
      <c r="C49" s="28" t="s">
        <v>275</v>
      </c>
      <c r="D49" s="41" t="s">
        <v>284</v>
      </c>
      <c r="E49" s="56" t="s">
        <v>276</v>
      </c>
      <c r="F49" s="29" t="s">
        <v>281</v>
      </c>
      <c r="G49" s="2" t="s">
        <v>277</v>
      </c>
      <c r="H49" s="36" t="s">
        <v>145</v>
      </c>
      <c r="I49" s="2" t="s">
        <v>142</v>
      </c>
      <c r="J49" s="128">
        <v>7</v>
      </c>
      <c r="K49" s="3">
        <f t="shared" si="0"/>
        <v>35</v>
      </c>
      <c r="L49" s="159" t="s">
        <v>129</v>
      </c>
      <c r="M49" s="11">
        <v>1.02</v>
      </c>
      <c r="N49" s="10">
        <f t="shared" si="1"/>
        <v>7.1400000000000006</v>
      </c>
      <c r="O49" s="11">
        <v>1.02</v>
      </c>
      <c r="P49" s="10">
        <f t="shared" si="2"/>
        <v>35.700000000000003</v>
      </c>
      <c r="Q49" s="5"/>
    </row>
    <row r="50" spans="1:17" ht="15.75" thickBot="1" x14ac:dyDescent="0.3">
      <c r="A50" s="157">
        <v>48</v>
      </c>
      <c r="B50" s="164"/>
      <c r="C50" s="21" t="s">
        <v>106</v>
      </c>
      <c r="D50" s="40" t="s">
        <v>107</v>
      </c>
      <c r="E50" s="2" t="s">
        <v>146</v>
      </c>
      <c r="F50" s="2" t="s">
        <v>108</v>
      </c>
      <c r="G50" s="2" t="s">
        <v>109</v>
      </c>
      <c r="H50" s="36" t="s">
        <v>145</v>
      </c>
      <c r="I50" s="2" t="s">
        <v>142</v>
      </c>
      <c r="J50" s="4">
        <v>1</v>
      </c>
      <c r="K50" s="101">
        <f t="shared" si="0"/>
        <v>5</v>
      </c>
      <c r="L50" s="115" t="s">
        <v>129</v>
      </c>
      <c r="M50" s="62">
        <v>3</v>
      </c>
      <c r="N50" s="10">
        <f t="shared" si="1"/>
        <v>3</v>
      </c>
      <c r="O50" s="11">
        <v>3</v>
      </c>
      <c r="P50" s="10">
        <f t="shared" si="2"/>
        <v>15</v>
      </c>
      <c r="Q50" s="5"/>
    </row>
    <row r="51" spans="1:17" ht="15.75" thickBot="1" x14ac:dyDescent="0.3">
      <c r="A51" s="157">
        <v>49</v>
      </c>
      <c r="B51" s="167"/>
      <c r="C51" s="49" t="s">
        <v>193</v>
      </c>
      <c r="D51" s="43" t="s">
        <v>194</v>
      </c>
      <c r="E51" s="43" t="s">
        <v>146</v>
      </c>
      <c r="F51" s="44" t="s">
        <v>195</v>
      </c>
      <c r="G51" s="45" t="s">
        <v>147</v>
      </c>
      <c r="H51" s="45" t="s">
        <v>147</v>
      </c>
      <c r="I51" s="45" t="s">
        <v>238</v>
      </c>
      <c r="J51" s="46">
        <v>1</v>
      </c>
      <c r="K51" s="3">
        <f t="shared" si="0"/>
        <v>5</v>
      </c>
      <c r="L51" s="1" t="s">
        <v>147</v>
      </c>
      <c r="M51" s="47" t="s">
        <v>147</v>
      </c>
      <c r="N51" s="47" t="s">
        <v>147</v>
      </c>
      <c r="O51" s="47" t="s">
        <v>147</v>
      </c>
      <c r="P51" s="47" t="s">
        <v>147</v>
      </c>
      <c r="Q51" s="48" t="s">
        <v>148</v>
      </c>
    </row>
    <row r="52" spans="1:17" ht="15.75" thickBot="1" x14ac:dyDescent="0.3">
      <c r="A52" s="157">
        <v>50</v>
      </c>
      <c r="B52" s="165"/>
      <c r="C52" s="89" t="s">
        <v>110</v>
      </c>
      <c r="D52" s="150" t="s">
        <v>259</v>
      </c>
      <c r="E52" s="90" t="s">
        <v>146</v>
      </c>
      <c r="F52" s="91" t="s">
        <v>128</v>
      </c>
      <c r="G52" s="92" t="s">
        <v>147</v>
      </c>
      <c r="H52" s="92" t="s">
        <v>147</v>
      </c>
      <c r="I52" s="92" t="s">
        <v>238</v>
      </c>
      <c r="J52" s="93">
        <v>4</v>
      </c>
      <c r="K52" s="114">
        <f t="shared" si="0"/>
        <v>20</v>
      </c>
      <c r="L52" s="137" t="s">
        <v>147</v>
      </c>
      <c r="M52" s="94" t="s">
        <v>147</v>
      </c>
      <c r="N52" s="94" t="s">
        <v>147</v>
      </c>
      <c r="O52" s="94" t="s">
        <v>147</v>
      </c>
      <c r="P52" s="94" t="s">
        <v>147</v>
      </c>
      <c r="Q52" s="95" t="s">
        <v>148</v>
      </c>
    </row>
    <row r="53" spans="1:17" ht="15.75" thickBot="1" x14ac:dyDescent="0.3">
      <c r="A53" s="157">
        <v>51</v>
      </c>
      <c r="B53" s="168" t="s">
        <v>234</v>
      </c>
      <c r="C53" s="57" t="s">
        <v>236</v>
      </c>
      <c r="D53" s="142"/>
      <c r="E53" s="58" t="s">
        <v>146</v>
      </c>
      <c r="F53" s="58" t="s">
        <v>235</v>
      </c>
      <c r="G53" s="143" t="s">
        <v>237</v>
      </c>
      <c r="H53" s="143" t="s">
        <v>237</v>
      </c>
      <c r="I53" s="143" t="s">
        <v>239</v>
      </c>
      <c r="J53" s="144">
        <v>2</v>
      </c>
      <c r="K53" s="145">
        <f t="shared" si="0"/>
        <v>10</v>
      </c>
      <c r="L53" s="115" t="s">
        <v>246</v>
      </c>
      <c r="M53" s="143"/>
      <c r="N53" s="143"/>
      <c r="O53" s="143"/>
      <c r="P53" s="143"/>
      <c r="Q53" s="146"/>
    </row>
    <row r="54" spans="1:17" ht="26.25" thickBot="1" x14ac:dyDescent="0.3">
      <c r="A54" s="157">
        <v>52</v>
      </c>
      <c r="B54" s="168"/>
      <c r="C54" s="66" t="s">
        <v>244</v>
      </c>
      <c r="D54" s="68"/>
      <c r="E54" s="2" t="s">
        <v>146</v>
      </c>
      <c r="F54" s="2" t="s">
        <v>240</v>
      </c>
      <c r="G54" s="69" t="s">
        <v>237</v>
      </c>
      <c r="H54" s="69" t="s">
        <v>237</v>
      </c>
      <c r="I54" s="68"/>
      <c r="J54" s="70">
        <v>2</v>
      </c>
      <c r="K54" s="71">
        <f t="shared" si="0"/>
        <v>10</v>
      </c>
      <c r="L54" s="1" t="s">
        <v>246</v>
      </c>
      <c r="M54" s="68"/>
      <c r="N54" s="68"/>
      <c r="O54" s="68"/>
      <c r="P54" s="68"/>
      <c r="Q54" s="73"/>
    </row>
    <row r="55" spans="1:17" ht="26.25" thickBot="1" x14ac:dyDescent="0.3">
      <c r="A55" s="157">
        <v>53</v>
      </c>
      <c r="B55" s="168"/>
      <c r="C55" s="79" t="s">
        <v>247</v>
      </c>
      <c r="D55" s="68"/>
      <c r="E55" s="2" t="s">
        <v>146</v>
      </c>
      <c r="F55" s="2" t="s">
        <v>248</v>
      </c>
      <c r="G55" s="69"/>
      <c r="H55" s="69"/>
      <c r="I55" s="68"/>
      <c r="J55" s="70">
        <v>1</v>
      </c>
      <c r="K55" s="71">
        <f t="shared" si="0"/>
        <v>5</v>
      </c>
      <c r="L55" s="1" t="s">
        <v>246</v>
      </c>
      <c r="M55" s="68"/>
      <c r="N55" s="68"/>
      <c r="O55" s="68"/>
      <c r="P55" s="68"/>
      <c r="Q55" s="73"/>
    </row>
    <row r="56" spans="1:17" ht="15.75" thickBot="1" x14ac:dyDescent="0.3">
      <c r="A56" s="157">
        <v>54</v>
      </c>
      <c r="B56" s="168"/>
      <c r="C56" s="79" t="s">
        <v>251</v>
      </c>
      <c r="D56" s="68"/>
      <c r="E56" s="2" t="s">
        <v>146</v>
      </c>
      <c r="F56" s="2" t="s">
        <v>249</v>
      </c>
      <c r="G56" s="69"/>
      <c r="H56" s="69"/>
      <c r="I56" s="68"/>
      <c r="J56" s="70">
        <v>1</v>
      </c>
      <c r="K56" s="71">
        <f t="shared" si="0"/>
        <v>5</v>
      </c>
      <c r="L56" s="1"/>
      <c r="M56" s="68"/>
      <c r="N56" s="68"/>
      <c r="O56" s="68"/>
      <c r="P56" s="68"/>
      <c r="Q56" s="73"/>
    </row>
    <row r="57" spans="1:17" ht="15.75" thickBot="1" x14ac:dyDescent="0.3">
      <c r="A57" s="157">
        <v>55</v>
      </c>
      <c r="B57" s="168"/>
      <c r="C57" s="79" t="s">
        <v>252</v>
      </c>
      <c r="D57" s="68"/>
      <c r="E57" s="2" t="s">
        <v>146</v>
      </c>
      <c r="F57" s="2" t="s">
        <v>250</v>
      </c>
      <c r="G57" s="69"/>
      <c r="H57" s="69"/>
      <c r="I57" s="68"/>
      <c r="J57" s="70">
        <v>1</v>
      </c>
      <c r="K57" s="71">
        <f t="shared" si="0"/>
        <v>5</v>
      </c>
      <c r="L57" s="1" t="s">
        <v>246</v>
      </c>
      <c r="M57" s="68"/>
      <c r="N57" s="68"/>
      <c r="O57" s="68"/>
      <c r="P57" s="68"/>
      <c r="Q57" s="73"/>
    </row>
    <row r="58" spans="1:17" ht="15.75" thickBot="1" x14ac:dyDescent="0.3">
      <c r="A58" s="157">
        <v>56</v>
      </c>
      <c r="B58" s="168"/>
      <c r="C58" s="72"/>
      <c r="D58" s="68"/>
      <c r="E58" s="68"/>
      <c r="F58" s="70" t="s">
        <v>241</v>
      </c>
      <c r="G58" s="69" t="s">
        <v>237</v>
      </c>
      <c r="H58" s="69" t="s">
        <v>237</v>
      </c>
      <c r="I58" s="68"/>
      <c r="J58" s="70">
        <v>1</v>
      </c>
      <c r="K58" s="71">
        <f t="shared" si="0"/>
        <v>5</v>
      </c>
      <c r="L58" s="1"/>
      <c r="M58" s="68"/>
      <c r="N58" s="68"/>
      <c r="O58" s="68"/>
      <c r="P58" s="68"/>
      <c r="Q58" s="73"/>
    </row>
    <row r="59" spans="1:17" ht="26.25" thickBot="1" x14ac:dyDescent="0.3">
      <c r="A59" s="162">
        <v>57</v>
      </c>
      <c r="B59" s="169"/>
      <c r="C59" s="80" t="s">
        <v>253</v>
      </c>
      <c r="D59" s="74"/>
      <c r="E59" s="6" t="s">
        <v>146</v>
      </c>
      <c r="F59" s="75" t="s">
        <v>242</v>
      </c>
      <c r="G59" s="81" t="s">
        <v>237</v>
      </c>
      <c r="H59" s="81" t="s">
        <v>237</v>
      </c>
      <c r="I59" s="74"/>
      <c r="J59" s="75">
        <v>2</v>
      </c>
      <c r="K59" s="76">
        <f t="shared" si="0"/>
        <v>10</v>
      </c>
      <c r="L59" s="137" t="s">
        <v>246</v>
      </c>
      <c r="M59" s="74"/>
      <c r="N59" s="74"/>
      <c r="O59" s="74"/>
      <c r="P59" s="74"/>
      <c r="Q59" s="77"/>
    </row>
    <row r="60" spans="1:17" ht="19.5" thickBot="1" x14ac:dyDescent="0.35">
      <c r="J60" s="170" t="s">
        <v>143</v>
      </c>
      <c r="K60" s="170"/>
      <c r="L60" s="170"/>
      <c r="M60" s="170"/>
      <c r="N60" s="23"/>
      <c r="O60" s="24"/>
      <c r="P60" s="25">
        <f>SUM(P3:P59)</f>
        <v>334.20349999999996</v>
      </c>
    </row>
    <row r="61" spans="1:17" ht="18.75" x14ac:dyDescent="0.3">
      <c r="J61" s="171" t="s">
        <v>144</v>
      </c>
      <c r="K61" s="171"/>
      <c r="L61" s="171"/>
      <c r="M61" s="171"/>
      <c r="N61" s="26">
        <f>SUM(N3:N60)</f>
        <v>72.469900000000024</v>
      </c>
      <c r="O61" s="27"/>
      <c r="P61" s="26">
        <f>P60/5</f>
        <v>66.840699999999998</v>
      </c>
    </row>
  </sheetData>
  <mergeCells count="12">
    <mergeCell ref="J61:M61"/>
    <mergeCell ref="A1:Q1"/>
    <mergeCell ref="B3:B10"/>
    <mergeCell ref="B11:B13"/>
    <mergeCell ref="B14:B17"/>
    <mergeCell ref="B18:B19"/>
    <mergeCell ref="B20:B22"/>
    <mergeCell ref="B23:B35"/>
    <mergeCell ref="B37:B45"/>
    <mergeCell ref="B46:B52"/>
    <mergeCell ref="B53:B59"/>
    <mergeCell ref="J60:M60"/>
  </mergeCells>
  <conditionalFormatting sqref="N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{82588B84-E416-479D-B74C-47FDB30E436E}</x14:id>
        </ext>
      </extLst>
    </cfRule>
  </conditionalFormatting>
  <conditionalFormatting sqref="P60:P61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{87109E6F-5286-46EA-A190-DF768ABEC712}</x14:id>
        </ext>
      </extLst>
    </cfRule>
  </conditionalFormatting>
  <conditionalFormatting sqref="Q52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{153F1126-F4E1-49FB-BF91-B139017F8647}</x14:id>
        </ext>
      </extLst>
    </cfRule>
  </conditionalFormatting>
  <conditionalFormatting sqref="J52:J59 J46:J50 J3:K45 K46:K59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1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{027D2F2D-D971-491A-AC28-52ABE18D430C}</x14:id>
        </ext>
      </extLst>
    </cfRule>
  </conditionalFormatting>
  <conditionalFormatting sqref="N3:N22 N36:N50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{DD2A080F-55ED-4625-B81F-08861D4BE586}</x14:id>
        </ext>
      </extLst>
    </cfRule>
  </conditionalFormatting>
  <conditionalFormatting sqref="P3:P22 P36:P50">
    <cfRule type="dataBar" priority="2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{1F23ADCD-A84D-4B0F-B598-8B85B502BD43}</x14:id>
        </ext>
      </extLst>
    </cfRule>
  </conditionalFormatting>
  <conditionalFormatting sqref="N23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{3A540B67-B326-4801-BF79-B7DCC2C4A7B7}</x14:id>
        </ext>
      </extLst>
    </cfRule>
  </conditionalFormatting>
  <conditionalFormatting sqref="P23">
    <cfRule type="dataBar" priority="1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{6D5143F5-752A-4998-807F-4E43E660EDC7}</x14:id>
        </ext>
      </extLst>
    </cfRule>
  </conditionalFormatting>
  <conditionalFormatting sqref="N2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{9A151008-36C4-43D6-B301-1BE791986188}</x14:id>
        </ext>
      </extLst>
    </cfRule>
  </conditionalFormatting>
  <conditionalFormatting sqref="P24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{85B538C7-FA3E-446B-8B6A-9E88983C986B}</x14:id>
        </ext>
      </extLst>
    </cfRule>
  </conditionalFormatting>
  <conditionalFormatting sqref="N25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{0CCCF95F-3719-4470-986A-DD29072383F8}</x14:id>
        </ext>
      </extLst>
    </cfRule>
  </conditionalFormatting>
  <conditionalFormatting sqref="P25">
    <cfRule type="dataBar" priority="1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{0185955B-EB6B-48A2-8346-DFD22B97C5EA}</x14:id>
        </ext>
      </extLst>
    </cfRule>
  </conditionalFormatting>
  <conditionalFormatting sqref="N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{2C336C08-6A48-4F52-B7A2-ED0100BCE9D5}</x14:id>
        </ext>
      </extLst>
    </cfRule>
  </conditionalFormatting>
  <conditionalFormatting sqref="P26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{D959C9AB-059C-4111-B8B8-970941B2D1D1}</x14:id>
        </ext>
      </extLst>
    </cfRule>
  </conditionalFormatting>
  <conditionalFormatting sqref="N27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{9A3F3A8B-18B8-4935-8F76-58923F0CEB7F}</x14:id>
        </ext>
      </extLst>
    </cfRule>
  </conditionalFormatting>
  <conditionalFormatting sqref="P27">
    <cfRule type="dataBar" priority="1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{A9EA4B2A-AAE3-4866-8C1C-C3603F247745}</x14:id>
        </ext>
      </extLst>
    </cfRule>
  </conditionalFormatting>
  <conditionalFormatting sqref="N2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{82452B4C-8B4A-4C2F-B126-0CB91430CB03}</x14:id>
        </ext>
      </extLst>
    </cfRule>
  </conditionalFormatting>
  <conditionalFormatting sqref="P29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{5F7F9C9C-450B-40B4-8DC1-039467CD8C55}</x14:id>
        </ext>
      </extLst>
    </cfRule>
  </conditionalFormatting>
  <conditionalFormatting sqref="N2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{7F1E124F-50AE-4F63-B8EE-F542300CF089}</x14:id>
        </ext>
      </extLst>
    </cfRule>
  </conditionalFormatting>
  <conditionalFormatting sqref="P28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{67C2CFFC-5DD4-4A20-8F01-E229B03FE20D}</x14:id>
        </ext>
      </extLst>
    </cfRule>
  </conditionalFormatting>
  <conditionalFormatting sqref="N30:N3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{DD2EFE6A-CDCB-4B8C-8A78-B061F27A9840}</x14:id>
        </ext>
      </extLst>
    </cfRule>
  </conditionalFormatting>
  <conditionalFormatting sqref="P30:P31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{EDAB50BC-CACF-4AF6-8871-AFB90C9E5ED7}</x14:id>
        </ext>
      </extLst>
    </cfRule>
  </conditionalFormatting>
  <conditionalFormatting sqref="N32:N3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{9FACE564-5F02-4E03-87C0-1727694C8032}</x14:id>
        </ext>
      </extLst>
    </cfRule>
  </conditionalFormatting>
  <conditionalFormatting sqref="P32:P35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{E8D55499-EBC1-417E-9CEB-0CBD70BB28C5}</x14:id>
        </ext>
      </extLst>
    </cfRule>
  </conditionalFormatting>
  <hyperlinks>
    <hyperlink ref="G3" r:id="rId1" display="https://lcsc.com/brand-detail/254.html" xr:uid="{00000000-0004-0000-0000-000000000000}"/>
    <hyperlink ref="G4" r:id="rId2" display="https://lcsc.com/brand-detail/254.html" xr:uid="{00000000-0004-0000-0000-000001000000}"/>
    <hyperlink ref="G6" r:id="rId3" display="https://lcsc.com/brand-detail/392.html" xr:uid="{00000000-0004-0000-0000-000002000000}"/>
    <hyperlink ref="G7" r:id="rId4" display="https://lcsc.com/brand-detail/254.html" xr:uid="{00000000-0004-0000-0000-000003000000}"/>
    <hyperlink ref="G12" r:id="rId5" display="https://lcsc.com/brand-detail/296.html" xr:uid="{00000000-0004-0000-0000-000004000000}"/>
    <hyperlink ref="G21" r:id="rId6" display="https://lcsc.com/brand-detail/94.html" xr:uid="{00000000-0004-0000-0000-000005000000}"/>
    <hyperlink ref="G41" r:id="rId7" display="https://lcsc.com/brand-detail/756.html" xr:uid="{00000000-0004-0000-0000-000006000000}"/>
    <hyperlink ref="G42" r:id="rId8" display="https://lcsc.com/brand-detail/100.html" xr:uid="{00000000-0004-0000-0000-000007000000}"/>
    <hyperlink ref="G50" r:id="rId9" display="https://lcsc.com/brand-detail/109.html" xr:uid="{00000000-0004-0000-0000-000008000000}"/>
    <hyperlink ref="L3" r:id="rId10" xr:uid="{00000000-0004-0000-0000-000009000000}"/>
    <hyperlink ref="L4" r:id="rId11" xr:uid="{00000000-0004-0000-0000-00000A000000}"/>
    <hyperlink ref="L7" r:id="rId12" xr:uid="{00000000-0004-0000-0000-00000B000000}"/>
    <hyperlink ref="G8" r:id="rId13" display="https://lcsc.com/brand-detail/994.html" xr:uid="{00000000-0004-0000-0000-00000C000000}"/>
    <hyperlink ref="L11" r:id="rId14" xr:uid="{00000000-0004-0000-0000-00000D000000}"/>
    <hyperlink ref="G11" r:id="rId15" display="https://www.digikey.com/en/supplier-centers/central-semiconductor" xr:uid="{00000000-0004-0000-0000-00000E000000}"/>
    <hyperlink ref="L12" r:id="rId16" xr:uid="{00000000-0004-0000-0000-00000F000000}"/>
    <hyperlink ref="G17" r:id="rId17" display="https://www.digikey.com/en/supplier-centers/sunled" xr:uid="{00000000-0004-0000-0000-000010000000}"/>
    <hyperlink ref="L17" r:id="rId18" xr:uid="{00000000-0004-0000-0000-000011000000}"/>
    <hyperlink ref="G18" r:id="rId19" display="https://www.digikey.com/en/supplier-centers/wurth-electronics" xr:uid="{00000000-0004-0000-0000-000012000000}"/>
    <hyperlink ref="L18" r:id="rId20" xr:uid="{00000000-0004-0000-0000-000013000000}"/>
    <hyperlink ref="G20" r:id="rId21" display="https://lcsc.com/brand-detail/296.html" xr:uid="{00000000-0004-0000-0000-000014000000}"/>
    <hyperlink ref="G19" r:id="rId22" display="https://www.digikey.com/en/supplier-centers/tdk" xr:uid="{00000000-0004-0000-0000-000015000000}"/>
    <hyperlink ref="L20" r:id="rId23" xr:uid="{00000000-0004-0000-0000-000016000000}"/>
    <hyperlink ref="L21" r:id="rId24" xr:uid="{00000000-0004-0000-0000-000017000000}"/>
    <hyperlink ref="G39" r:id="rId25" display="https://www.digikey.com/en/supplier-centers/texas-instruments" xr:uid="{00000000-0004-0000-0000-000018000000}"/>
    <hyperlink ref="G38" r:id="rId26" display="https://www.digikey.com/en/supplier-centers/stmicroelectronics" xr:uid="{00000000-0004-0000-0000-000019000000}"/>
    <hyperlink ref="L38" r:id="rId27" xr:uid="{00000000-0004-0000-0000-00001A000000}"/>
    <hyperlink ref="L42" r:id="rId28" xr:uid="{00000000-0004-0000-0000-00001B000000}"/>
    <hyperlink ref="G43" r:id="rId29" display="https://www.digikey.com/en/supplier-centers/analog-devices" xr:uid="{00000000-0004-0000-0000-00001C000000}"/>
    <hyperlink ref="L43" r:id="rId30" xr:uid="{00000000-0004-0000-0000-00001D000000}"/>
    <hyperlink ref="L50" r:id="rId31" xr:uid="{00000000-0004-0000-0000-00001E000000}"/>
    <hyperlink ref="L8" r:id="rId32" xr:uid="{00000000-0004-0000-0000-00001F000000}"/>
    <hyperlink ref="L39" r:id="rId33" xr:uid="{00000000-0004-0000-0000-000020000000}"/>
    <hyperlink ref="L41" r:id="rId34" xr:uid="{00000000-0004-0000-0000-000021000000}"/>
    <hyperlink ref="L13" r:id="rId35" xr:uid="{00000000-0004-0000-0000-000022000000}"/>
    <hyperlink ref="L22" r:id="rId36" xr:uid="{00000000-0004-0000-0000-000023000000}"/>
    <hyperlink ref="L36" r:id="rId37" xr:uid="{00000000-0004-0000-0000-000024000000}"/>
    <hyperlink ref="G37" r:id="rId38" display="https://lcsc.com/brand-detail/877.html" xr:uid="{00000000-0004-0000-0000-000025000000}"/>
    <hyperlink ref="L40" r:id="rId39" xr:uid="{00000000-0004-0000-0000-000026000000}"/>
    <hyperlink ref="L44" r:id="rId40" xr:uid="{00000000-0004-0000-0000-000027000000}"/>
    <hyperlink ref="L45" r:id="rId41" xr:uid="{00000000-0004-0000-0000-000028000000}"/>
    <hyperlink ref="L5" r:id="rId42" xr:uid="{00000000-0004-0000-0000-000029000000}"/>
    <hyperlink ref="L14" r:id="rId43" xr:uid="{00000000-0004-0000-0000-00002A000000}"/>
    <hyperlink ref="L10" r:id="rId44" xr:uid="{00000000-0004-0000-0000-00002B000000}"/>
    <hyperlink ref="L53" r:id="rId45" xr:uid="{00000000-0004-0000-0000-00002C000000}"/>
    <hyperlink ref="L54" r:id="rId46" location="customerReviews" xr:uid="{00000000-0004-0000-0000-00002D000000}"/>
    <hyperlink ref="L57" r:id="rId47" xr:uid="{00000000-0004-0000-0000-00002E000000}"/>
    <hyperlink ref="L55" r:id="rId48" xr:uid="{00000000-0004-0000-0000-00002F000000}"/>
    <hyperlink ref="L59" r:id="rId49" xr:uid="{00000000-0004-0000-0000-000030000000}"/>
    <hyperlink ref="L37" r:id="rId50" xr:uid="{00000000-0004-0000-0000-000031000000}"/>
    <hyperlink ref="L23" r:id="rId51" xr:uid="{00000000-0004-0000-0000-000032000000}"/>
    <hyperlink ref="L24" r:id="rId52" xr:uid="{00000000-0004-0000-0000-000033000000}"/>
    <hyperlink ref="L25" r:id="rId53" xr:uid="{00000000-0004-0000-0000-000034000000}"/>
    <hyperlink ref="L26" r:id="rId54" xr:uid="{00000000-0004-0000-0000-000035000000}"/>
    <hyperlink ref="L27" r:id="rId55" xr:uid="{00000000-0004-0000-0000-000036000000}"/>
    <hyperlink ref="L29" r:id="rId56" xr:uid="{00000000-0004-0000-0000-000037000000}"/>
    <hyperlink ref="L28" r:id="rId57" xr:uid="{00000000-0004-0000-0000-000038000000}"/>
    <hyperlink ref="L30" r:id="rId58" xr:uid="{00000000-0004-0000-0000-000039000000}"/>
    <hyperlink ref="L31" r:id="rId59" xr:uid="{00000000-0004-0000-0000-00003A000000}"/>
    <hyperlink ref="L33" r:id="rId60" xr:uid="{00000000-0004-0000-0000-00003B000000}"/>
    <hyperlink ref="L34" r:id="rId61" xr:uid="{00000000-0004-0000-0000-00003C000000}"/>
    <hyperlink ref="L35" r:id="rId62" xr:uid="{00000000-0004-0000-0000-00003D000000}"/>
    <hyperlink ref="L32" r:id="rId63" xr:uid="{00000000-0004-0000-0000-00003E000000}"/>
    <hyperlink ref="L6" r:id="rId64" xr:uid="{00000000-0004-0000-0000-00003F000000}"/>
    <hyperlink ref="L9" r:id="rId65" xr:uid="{00000000-0004-0000-0000-000040000000}"/>
    <hyperlink ref="L19" r:id="rId66" xr:uid="{00000000-0004-0000-0000-000041000000}"/>
    <hyperlink ref="L46" r:id="rId67" xr:uid="{00000000-0004-0000-0000-000042000000}"/>
    <hyperlink ref="L47" r:id="rId68" xr:uid="{00000000-0004-0000-0000-000043000000}"/>
    <hyperlink ref="L48" r:id="rId69" xr:uid="{00000000-0004-0000-0000-000044000000}"/>
    <hyperlink ref="L49" r:id="rId70" xr:uid="{00000000-0004-0000-0000-000045000000}"/>
  </hyperlinks>
  <pageMargins left="0.7" right="0.7" top="0.75" bottom="0.75" header="0.3" footer="0.3"/>
  <pageSetup orientation="portrait" r:id="rId7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588B84-E416-479D-B74C-47FDB30E43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N61</xm:sqref>
        </x14:conditionalFormatting>
        <x14:conditionalFormatting xmlns:xm="http://schemas.microsoft.com/office/excel/2006/main">
          <x14:cfRule type="dataBar" id="{87109E6F-5286-46EA-A190-DF768ABEC71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P60:P61</xm:sqref>
        </x14:conditionalFormatting>
        <x14:conditionalFormatting xmlns:xm="http://schemas.microsoft.com/office/excel/2006/main">
          <x14:cfRule type="dataBar" id="{153F1126-F4E1-49FB-BF91-B139017F86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Q52</xm:sqref>
        </x14:conditionalFormatting>
        <x14:conditionalFormatting xmlns:xm="http://schemas.microsoft.com/office/excel/2006/main">
          <x14:cfRule type="dataBar" id="{027D2F2D-D971-491A-AC28-52ABE18D430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DD2A080F-55ED-4625-B81F-08861D4BE5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N3:N22 N36:N50</xm:sqref>
        </x14:conditionalFormatting>
        <x14:conditionalFormatting xmlns:xm="http://schemas.microsoft.com/office/excel/2006/main">
          <x14:cfRule type="dataBar" id="{1F23ADCD-A84D-4B0F-B598-8B85B502BD4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P3:P22 P36:P50</xm:sqref>
        </x14:conditionalFormatting>
        <x14:conditionalFormatting xmlns:xm="http://schemas.microsoft.com/office/excel/2006/main">
          <x14:cfRule type="dataBar" id="{3A540B67-B326-4801-BF79-B7DCC2C4A7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N23</xm:sqref>
        </x14:conditionalFormatting>
        <x14:conditionalFormatting xmlns:xm="http://schemas.microsoft.com/office/excel/2006/main">
          <x14:cfRule type="dataBar" id="{6D5143F5-752A-4998-807F-4E43E660EDC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9A151008-36C4-43D6-B301-1BE7919861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N24</xm:sqref>
        </x14:conditionalFormatting>
        <x14:conditionalFormatting xmlns:xm="http://schemas.microsoft.com/office/excel/2006/main">
          <x14:cfRule type="dataBar" id="{85B538C7-FA3E-446B-8B6A-9E88983C986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P24</xm:sqref>
        </x14:conditionalFormatting>
        <x14:conditionalFormatting xmlns:xm="http://schemas.microsoft.com/office/excel/2006/main">
          <x14:cfRule type="dataBar" id="{0CCCF95F-3719-4470-986A-DD29072383F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N25</xm:sqref>
        </x14:conditionalFormatting>
        <x14:conditionalFormatting xmlns:xm="http://schemas.microsoft.com/office/excel/2006/main">
          <x14:cfRule type="dataBar" id="{0185955B-EB6B-48A2-8346-DFD22B97C5E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P25</xm:sqref>
        </x14:conditionalFormatting>
        <x14:conditionalFormatting xmlns:xm="http://schemas.microsoft.com/office/excel/2006/main">
          <x14:cfRule type="dataBar" id="{2C336C08-6A48-4F52-B7A2-ED0100BCE9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N26</xm:sqref>
        </x14:conditionalFormatting>
        <x14:conditionalFormatting xmlns:xm="http://schemas.microsoft.com/office/excel/2006/main">
          <x14:cfRule type="dataBar" id="{D959C9AB-059C-4111-B8B8-970941B2D1D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9A3F3A8B-18B8-4935-8F76-58923F0CEB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N27</xm:sqref>
        </x14:conditionalFormatting>
        <x14:conditionalFormatting xmlns:xm="http://schemas.microsoft.com/office/excel/2006/main">
          <x14:cfRule type="dataBar" id="{A9EA4B2A-AAE3-4866-8C1C-C3603F24774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82452B4C-8B4A-4C2F-B126-0CB91430CB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N29</xm:sqref>
        </x14:conditionalFormatting>
        <x14:conditionalFormatting xmlns:xm="http://schemas.microsoft.com/office/excel/2006/main">
          <x14:cfRule type="dataBar" id="{5F7F9C9C-450B-40B4-8DC1-039467CD8C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P29</xm:sqref>
        </x14:conditionalFormatting>
        <x14:conditionalFormatting xmlns:xm="http://schemas.microsoft.com/office/excel/2006/main">
          <x14:cfRule type="dataBar" id="{7F1E124F-50AE-4F63-B8EE-F542300CF0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N28</xm:sqref>
        </x14:conditionalFormatting>
        <x14:conditionalFormatting xmlns:xm="http://schemas.microsoft.com/office/excel/2006/main">
          <x14:cfRule type="dataBar" id="{67C2CFFC-5DD4-4A20-8F01-E229B03FE20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DD2EFE6A-CDCB-4B8C-8A78-B061F27A98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N30:N31</xm:sqref>
        </x14:conditionalFormatting>
        <x14:conditionalFormatting xmlns:xm="http://schemas.microsoft.com/office/excel/2006/main">
          <x14:cfRule type="dataBar" id="{EDAB50BC-CACF-4AF6-8871-AFB90C9E5ED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P30:P31</xm:sqref>
        </x14:conditionalFormatting>
        <x14:conditionalFormatting xmlns:xm="http://schemas.microsoft.com/office/excel/2006/main">
          <x14:cfRule type="dataBar" id="{9FACE564-5F02-4E03-87C0-1727694C80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N32:N35</xm:sqref>
        </x14:conditionalFormatting>
        <x14:conditionalFormatting xmlns:xm="http://schemas.microsoft.com/office/excel/2006/main">
          <x14:cfRule type="dataBar" id="{E8D55499-EBC1-417E-9CEB-0CBD70BB28C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P32:P35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2021-04-15T08:46:21Z</dcterms:created>
  <dcterms:modified xsi:type="dcterms:W3CDTF">2022-03-22T11:52:51Z</dcterms:modified>
</cp:coreProperties>
</file>