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FranciscoGimenez-HCDSHardware\Documents\Deliverables\BOM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6" i="1" l="1"/>
  <c r="K55" i="1"/>
  <c r="K54" i="1"/>
  <c r="K53" i="1"/>
  <c r="K10" i="1" l="1"/>
  <c r="K3" i="1" l="1"/>
  <c r="P15" i="1"/>
  <c r="P16" i="1"/>
  <c r="P17" i="1"/>
  <c r="N15" i="1"/>
  <c r="N16" i="1"/>
  <c r="N17" i="1"/>
  <c r="K17" i="1"/>
  <c r="K16" i="1"/>
  <c r="K15" i="1"/>
  <c r="N26" i="1"/>
  <c r="K26" i="1"/>
  <c r="P26" i="1" s="1"/>
  <c r="K4" i="1"/>
  <c r="K5" i="1"/>
  <c r="P5" i="1" s="1"/>
  <c r="K6" i="1"/>
  <c r="K7" i="1"/>
  <c r="K8" i="1"/>
  <c r="K9" i="1"/>
  <c r="K11" i="1"/>
  <c r="K12" i="1"/>
  <c r="K13" i="1"/>
  <c r="K14" i="1"/>
  <c r="K18" i="1"/>
  <c r="K19" i="1"/>
  <c r="K20" i="1"/>
  <c r="K21" i="1"/>
  <c r="K22" i="1"/>
  <c r="K23" i="1"/>
  <c r="K24" i="1"/>
  <c r="K25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P6" i="1"/>
  <c r="N5" i="1"/>
  <c r="N6" i="1"/>
  <c r="N44" i="1" l="1"/>
  <c r="P44" i="1"/>
  <c r="N43" i="1"/>
  <c r="P43" i="1"/>
  <c r="N40" i="1"/>
  <c r="P40" i="1"/>
  <c r="P27" i="1"/>
  <c r="N27" i="1"/>
  <c r="N32" i="1"/>
  <c r="P32" i="1"/>
  <c r="N25" i="1"/>
  <c r="P25" i="1"/>
  <c r="P14" i="1"/>
  <c r="N14" i="1"/>
  <c r="N4" i="1" l="1"/>
  <c r="N7" i="1"/>
  <c r="N8" i="1"/>
  <c r="N9" i="1"/>
  <c r="N11" i="1"/>
  <c r="N12" i="1"/>
  <c r="N13" i="1"/>
  <c r="N18" i="1"/>
  <c r="N19" i="1"/>
  <c r="N20" i="1"/>
  <c r="N21" i="1"/>
  <c r="N22" i="1"/>
  <c r="N23" i="1"/>
  <c r="N24" i="1"/>
  <c r="N28" i="1"/>
  <c r="N29" i="1"/>
  <c r="N30" i="1"/>
  <c r="N31" i="1"/>
  <c r="N33" i="1"/>
  <c r="N34" i="1"/>
  <c r="N35" i="1"/>
  <c r="N36" i="1"/>
  <c r="N37" i="1"/>
  <c r="N38" i="1"/>
  <c r="N39" i="1"/>
  <c r="N41" i="1"/>
  <c r="N42" i="1"/>
  <c r="N45" i="1"/>
  <c r="N46" i="1"/>
  <c r="N47" i="1"/>
  <c r="N48" i="1"/>
  <c r="N49" i="1"/>
  <c r="N50" i="1"/>
  <c r="N3" i="1"/>
  <c r="N58" i="1" l="1"/>
  <c r="P50" i="1"/>
  <c r="P49" i="1"/>
  <c r="P48" i="1"/>
  <c r="P47" i="1"/>
  <c r="P46" i="1"/>
  <c r="P45" i="1"/>
  <c r="P42" i="1"/>
  <c r="P41" i="1"/>
  <c r="P39" i="1"/>
  <c r="P38" i="1"/>
  <c r="P37" i="1"/>
  <c r="P36" i="1"/>
  <c r="P35" i="1"/>
  <c r="P34" i="1"/>
  <c r="P33" i="1"/>
  <c r="P31" i="1"/>
  <c r="P30" i="1"/>
  <c r="P29" i="1"/>
  <c r="P28" i="1"/>
  <c r="P24" i="1"/>
  <c r="P23" i="1"/>
  <c r="P22" i="1"/>
  <c r="P21" i="1"/>
  <c r="P20" i="1"/>
  <c r="P19" i="1"/>
  <c r="P18" i="1"/>
  <c r="P13" i="1"/>
  <c r="P12" i="1"/>
  <c r="P11" i="1"/>
  <c r="P9" i="1"/>
  <c r="P8" i="1"/>
  <c r="P7" i="1"/>
  <c r="P4" i="1"/>
  <c r="P3" i="1"/>
  <c r="P57" i="1" l="1"/>
  <c r="P58" i="1" s="1"/>
</calcChain>
</file>

<file path=xl/sharedStrings.xml><?xml version="1.0" encoding="utf-8"?>
<sst xmlns="http://schemas.openxmlformats.org/spreadsheetml/2006/main" count="449" uniqueCount="275">
  <si>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</si>
  <si>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</si>
  <si>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</si>
  <si>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</si>
  <si>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</si>
  <si>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</si>
  <si>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</si>
  <si>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</si>
  <si>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</si>
  <si>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</si>
  <si>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</si>
  <si>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</si>
  <si>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</si>
  <si>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</si>
  <si>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</si>
  <si>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CAP CER 0.1UF 50V X7R 0603</t>
  </si>
  <si>
    <t>CAP-0603</t>
  </si>
  <si>
    <t>CL10B104KB8NNNL</t>
  </si>
  <si>
    <t>Samsung Electro-Mechanics</t>
  </si>
  <si>
    <t>CAP CER 1UF 25V X5R 0603</t>
  </si>
  <si>
    <t>CL10A105KA8NNNC</t>
  </si>
  <si>
    <t>CAP CER 10UF 25V X5R 0603</t>
  </si>
  <si>
    <t>TMK107BBJ106MA-T</t>
  </si>
  <si>
    <t>Taiyo Yuden</t>
  </si>
  <si>
    <t>CAP CER 4.7UF 25V X5R 0603</t>
  </si>
  <si>
    <t>C33, C34</t>
  </si>
  <si>
    <t>CL10A475KA8NQNC</t>
  </si>
  <si>
    <t>CAP ALUM 100UF 20% 25V SMD</t>
  </si>
  <si>
    <t>UWX1E101MCL1GB</t>
  </si>
  <si>
    <t>Nichicon</t>
  </si>
  <si>
    <t>CAP ALUM 470UF 20% 25V SMD</t>
  </si>
  <si>
    <t>C37, C38</t>
  </si>
  <si>
    <t>UCD1E471MNL1GS</t>
  </si>
  <si>
    <t>Diode</t>
  </si>
  <si>
    <t>DIODE SCHOTTKY 40V 3A SMA</t>
  </si>
  <si>
    <t>D1, D2</t>
  </si>
  <si>
    <t>DO-214AC</t>
  </si>
  <si>
    <t>CMSH3-40MA TR13 PBFREE</t>
  </si>
  <si>
    <t>D3</t>
  </si>
  <si>
    <t>SMA</t>
  </si>
  <si>
    <t>S1A-13-F</t>
  </si>
  <si>
    <t>Diodes Incorporated</t>
  </si>
  <si>
    <t>LED GREEN CLEAR CHIP SMD</t>
  </si>
  <si>
    <t>D4, D5</t>
  </si>
  <si>
    <t>LED 0402</t>
  </si>
  <si>
    <t>XZVG68W-2</t>
  </si>
  <si>
    <t>Inductor</t>
  </si>
  <si>
    <t>FIXED IND 3.3UH 8A 11.8 MOHM SMD</t>
  </si>
  <si>
    <t>74437368033</t>
  </si>
  <si>
    <t>FIXED IND 10UH 2.5A 43.7 MOHM</t>
  </si>
  <si>
    <t>L2</t>
  </si>
  <si>
    <t>SLF10145T-100M2R5-PF</t>
  </si>
  <si>
    <t>Transistor</t>
  </si>
  <si>
    <t>TRANS NPN 40V 0.6A SMD SOT23-3</t>
  </si>
  <si>
    <t>Q1, Q2</t>
  </si>
  <si>
    <t>MMBT2222A-7-F</t>
  </si>
  <si>
    <t>TRANS PNP 40V 600MA SOT23-3</t>
  </si>
  <si>
    <t>Q4</t>
  </si>
  <si>
    <t>MMBT4403LT1G</t>
  </si>
  <si>
    <t>ON Semiconductor</t>
  </si>
  <si>
    <t>RES SMD 10K OHM 5% 1/5W 0603</t>
  </si>
  <si>
    <t>RES-0603</t>
  </si>
  <si>
    <t>CRGH0603J10K</t>
  </si>
  <si>
    <t>RES SMD 54.9K OHM 1% 1/10W 0603</t>
  </si>
  <si>
    <t>R5</t>
  </si>
  <si>
    <t>RC0603FR-0754K9L</t>
  </si>
  <si>
    <t>YAGEO</t>
  </si>
  <si>
    <t>RES SMD 20K OHM 1% 1/4W 0603</t>
  </si>
  <si>
    <t>ESR03EZPF2002</t>
  </si>
  <si>
    <t>RES SMD 8.2K OHM 5% 1/4W 0603</t>
  </si>
  <si>
    <t>ERJ-PA3J822V</t>
  </si>
  <si>
    <t>RES SMD 100 OHM 1% 1/4W 0603</t>
  </si>
  <si>
    <t>RCA0603100RFKEAHP</t>
  </si>
  <si>
    <t>RES SMD 301K OHM 1% 1/10W 0603</t>
  </si>
  <si>
    <t>CRCW0603301KFKEB</t>
  </si>
  <si>
    <t>R26</t>
  </si>
  <si>
    <t>RES SMD 536K OHM 1% 1/10W 0603</t>
  </si>
  <si>
    <t>R27</t>
  </si>
  <si>
    <t>CRCW0603536KFKEA</t>
  </si>
  <si>
    <t>RES SMD 453K OHM 1% 1/10W 0603</t>
  </si>
  <si>
    <t>R28</t>
  </si>
  <si>
    <t>RC0603FR-07453KL</t>
  </si>
  <si>
    <t>RES 5.1K OHM 1% 1/10W 0603</t>
  </si>
  <si>
    <t>R29, R30, R77, R78</t>
  </si>
  <si>
    <t>RMCF0603FT5K10</t>
  </si>
  <si>
    <t>Switch</t>
  </si>
  <si>
    <t>SW1</t>
  </si>
  <si>
    <t>ICS</t>
  </si>
  <si>
    <t>RX TXRX MOD WIFI SURFACE MOUNT</t>
  </si>
  <si>
    <t>U1</t>
  </si>
  <si>
    <t>ESP32-WROOM-32D (8MB)</t>
  </si>
  <si>
    <t>Espressif Systems</t>
  </si>
  <si>
    <t>IC REG BUCK ADJ 5A TSOT23-6</t>
  </si>
  <si>
    <t>U2</t>
  </si>
  <si>
    <t>SOT 23-6</t>
  </si>
  <si>
    <t>TPS565208DDCT</t>
  </si>
  <si>
    <t>IC REG LINEAR 3.3V 1A DPAK</t>
  </si>
  <si>
    <t>U3</t>
  </si>
  <si>
    <t>LDF33DT-TR</t>
  </si>
  <si>
    <t>U4</t>
  </si>
  <si>
    <t>Texas Instruments</t>
  </si>
  <si>
    <t>LOAD CELL AMP HX711</t>
  </si>
  <si>
    <t>U6</t>
  </si>
  <si>
    <t>HX711</t>
  </si>
  <si>
    <t>Avia Semicon (Xiamen)</t>
  </si>
  <si>
    <t>IC BUF NON-INVERT 5.5V SOT23-5</t>
  </si>
  <si>
    <t>SOT-23-5</t>
  </si>
  <si>
    <t>SN74LV1T34DBVR</t>
  </si>
  <si>
    <t>STMicroelectronics</t>
  </si>
  <si>
    <t>U13</t>
  </si>
  <si>
    <t>LT3652EDD#PBF</t>
  </si>
  <si>
    <t>Connectors</t>
  </si>
  <si>
    <t>B2B-XH-A(LF)(SN)</t>
  </si>
  <si>
    <t>JST Sales America</t>
  </si>
  <si>
    <t>CONN HEADER VERT 4POS 2.5MM</t>
  </si>
  <si>
    <t>B4B-XH-A(LF)(SN)</t>
  </si>
  <si>
    <t>CONN HEADER VERT 3POS 2.5MM</t>
  </si>
  <si>
    <t>B3B-XH-A(LF)(SN)</t>
  </si>
  <si>
    <t>CONN HEADER VERT 7POS 2.5MM</t>
  </si>
  <si>
    <t>B7B-XH-A(LF)(SN)</t>
  </si>
  <si>
    <t>CONN RCP USB3.1 TYPEC 24P SMD RA</t>
  </si>
  <si>
    <t>J16</t>
  </si>
  <si>
    <t>2305018-2</t>
  </si>
  <si>
    <t>TE Connectivity</t>
  </si>
  <si>
    <t>Test Point ON</t>
  </si>
  <si>
    <t>P1, P2, P3, P4</t>
  </si>
  <si>
    <t>0.1uF</t>
  </si>
  <si>
    <t>1uF</t>
  </si>
  <si>
    <t>10uF</t>
  </si>
  <si>
    <t>4.7uF</t>
  </si>
  <si>
    <t>100uF</t>
  </si>
  <si>
    <t>470uF</t>
  </si>
  <si>
    <t>3.3uH</t>
  </si>
  <si>
    <t>10uH</t>
  </si>
  <si>
    <t>10K</t>
  </si>
  <si>
    <t>54.9K</t>
  </si>
  <si>
    <t>20K</t>
  </si>
  <si>
    <t>8.2K</t>
  </si>
  <si>
    <t>100R</t>
  </si>
  <si>
    <t>301k</t>
  </si>
  <si>
    <t>0.05R</t>
  </si>
  <si>
    <t>536K</t>
  </si>
  <si>
    <t>453K</t>
  </si>
  <si>
    <t>5.1K</t>
  </si>
  <si>
    <t>Test Point</t>
  </si>
  <si>
    <t>Digikey</t>
  </si>
  <si>
    <t>Total Cost (5)</t>
  </si>
  <si>
    <t>Remarks</t>
  </si>
  <si>
    <t>Central Semiconductor Corp</t>
  </si>
  <si>
    <t>SunLED</t>
  </si>
  <si>
    <t>Würth Elektronik</t>
  </si>
  <si>
    <t>TDK Corporation</t>
  </si>
  <si>
    <t>TE Connectivity Passive Product</t>
  </si>
  <si>
    <t>Stackpole Electronics Inc</t>
  </si>
  <si>
    <t>Rohm Semiconductor</t>
  </si>
  <si>
    <t>Yageo</t>
  </si>
  <si>
    <t>Panasonic Electronic Components</t>
  </si>
  <si>
    <t>Vishay Dale</t>
  </si>
  <si>
    <t>Analog Devices Inc.</t>
  </si>
  <si>
    <t>EXV477M025A9PAA</t>
  </si>
  <si>
    <t>Aliexpress</t>
  </si>
  <si>
    <t>Bill of Material (BOM) for  Francisco Gimenez</t>
  </si>
  <si>
    <t>-</t>
  </si>
  <si>
    <t xml:space="preserve">Total Component Cost </t>
  </si>
  <si>
    <t>Single Board Cost</t>
  </si>
  <si>
    <t>---------------</t>
  </si>
  <si>
    <t>Custom</t>
  </si>
  <si>
    <t>-------------</t>
  </si>
  <si>
    <t>DO NOT Mount</t>
  </si>
  <si>
    <t>Arrow</t>
  </si>
  <si>
    <t>RES 0.05 OHM 1% 1/2W 2010</t>
  </si>
  <si>
    <t>WSL2010R0500FEA</t>
  </si>
  <si>
    <t>AliExpress</t>
  </si>
  <si>
    <t>SOT-23</t>
  </si>
  <si>
    <t xml:space="preserve">DIODE GEN PURP 50V 1A SMA
</t>
  </si>
  <si>
    <t>DIODE SCHOTTKY 5A 40V SMB</t>
  </si>
  <si>
    <t>D6</t>
  </si>
  <si>
    <t>SMB</t>
  </si>
  <si>
    <t>SS54B-HF</t>
  </si>
  <si>
    <t>Mouser</t>
  </si>
  <si>
    <t>Comchip Technology</t>
  </si>
  <si>
    <t>MOSFET P-CH 12V 2.6A SUPERSOT3</t>
  </si>
  <si>
    <t>SuperSOT-3</t>
  </si>
  <si>
    <t>FDN306P</t>
  </si>
  <si>
    <t>RES SMD 470K OHM 5% 1/10W 0603</t>
  </si>
  <si>
    <t>R8</t>
  </si>
  <si>
    <t>AC0603JR-07470KL</t>
  </si>
  <si>
    <t>470K</t>
  </si>
  <si>
    <t>RES 2010</t>
  </si>
  <si>
    <t xml:space="preserve"> 
Vishay Dale</t>
  </si>
  <si>
    <t>RES SMD 100K OHM 5% 1/5W 0603</t>
  </si>
  <si>
    <t>CRGH0603J100K</t>
  </si>
  <si>
    <t>100K</t>
  </si>
  <si>
    <t>SWITCH TACTILE SPST-NO 0.05A 12V</t>
  </si>
  <si>
    <t>B3U-1000P</t>
  </si>
  <si>
    <t xml:space="preserve">
Omron Electronics Inc-EMC Div</t>
  </si>
  <si>
    <t>DPAK</t>
  </si>
  <si>
    <t>IC OR CTRLR SRC SELECT TSOT23-6</t>
  </si>
  <si>
    <t>TSOT-23-6</t>
  </si>
  <si>
    <t>LTC4412IS6#TRPBF</t>
  </si>
  <si>
    <t xml:space="preserve">
Analog Devices Inc.</t>
  </si>
  <si>
    <t>IC PWR SWITCH P-CHAN 1:1 6TSOP</t>
  </si>
  <si>
    <t>U14</t>
  </si>
  <si>
    <t>6-TSOP</t>
  </si>
  <si>
    <t>SI3865DDV-T1-GE3</t>
  </si>
  <si>
    <t>IC SUPERVISOR 1 CHANNEL 3SSOP</t>
  </si>
  <si>
    <t>U17</t>
  </si>
  <si>
    <t>SSOP-3</t>
  </si>
  <si>
    <t>BD48K50G-TL</t>
  </si>
  <si>
    <t xml:space="preserve">
Vishay Siliconix</t>
  </si>
  <si>
    <t xml:space="preserve">
Rohm Semiconductor</t>
  </si>
  <si>
    <t xml:space="preserve">CONN HEADER VERT 2POS 2.5MM
</t>
  </si>
  <si>
    <t>J10, J11, J13, J20, J30</t>
  </si>
  <si>
    <t>Capacitors</t>
  </si>
  <si>
    <t>Resistors</t>
  </si>
  <si>
    <t>12DFN</t>
  </si>
  <si>
    <t>Solder Bridge ON</t>
  </si>
  <si>
    <t>SB1</t>
  </si>
  <si>
    <t>Solder Bridge</t>
  </si>
  <si>
    <t>GRM188R61E106MA73J</t>
  </si>
  <si>
    <t>C1, C11, C13, C14, C15, C17, C21, C32, C36, C51, C53, CF1, CF3</t>
  </si>
  <si>
    <t>C3, C11, C39, C50, C52, CF1. CF3</t>
  </si>
  <si>
    <t>CAP CER 2.2UF 25V X5R 0603</t>
  </si>
  <si>
    <t>C5</t>
  </si>
  <si>
    <t>CC0603KRX5R8BB225</t>
  </si>
  <si>
    <t>2.2uF</t>
  </si>
  <si>
    <t>DigiKey</t>
  </si>
  <si>
    <t>C6, C7, C12, C31, C35, CF2</t>
  </si>
  <si>
    <t>C42, C54</t>
  </si>
  <si>
    <t>Q3</t>
  </si>
  <si>
    <t>R1, R9, R10, R15</t>
  </si>
  <si>
    <t>R3, R4, R11, R12, R13, R32, RF1</t>
  </si>
  <si>
    <t xml:space="preserve"> R2</t>
  </si>
  <si>
    <t>R6, R36, R37</t>
  </si>
  <si>
    <t>R7</t>
  </si>
  <si>
    <t>R14</t>
  </si>
  <si>
    <t>R16</t>
  </si>
  <si>
    <t>U7, U8, U19</t>
  </si>
  <si>
    <t>Yellow 2 x 1.25 x 1.1 mm 130° Water Clear 112 mcd 1.8 V LED Surface Mount</t>
  </si>
  <si>
    <t>LED1</t>
  </si>
  <si>
    <t>LTST-C170KSKT</t>
  </si>
  <si>
    <t>LED BLUE 0805 SMD</t>
  </si>
  <si>
    <t>LED2</t>
  </si>
  <si>
    <t>17-21/BHC-XL2M2TY/3T</t>
  </si>
  <si>
    <t>LED GREEN 574nm 2-Pin Chip 0805 SMD</t>
  </si>
  <si>
    <t>LED3</t>
  </si>
  <si>
    <t>LED 0805</t>
  </si>
  <si>
    <t>LTST-C171KGKT</t>
  </si>
  <si>
    <t>Vishay Lite-On</t>
  </si>
  <si>
    <t>Everlight Elec</t>
  </si>
  <si>
    <t>LED</t>
  </si>
  <si>
    <t>J1, J14, J15</t>
  </si>
  <si>
    <t>J2, J17</t>
  </si>
  <si>
    <t>J3, J24, J25, J26, J27, J28, J29</t>
  </si>
  <si>
    <t>Custom Supplier</t>
  </si>
  <si>
    <t>CAP CER 22UF 35V X5R 0805</t>
  </si>
  <si>
    <t>C#1, C#2</t>
  </si>
  <si>
    <t>Cap0805</t>
  </si>
  <si>
    <t>C2012X5R1V226MT000E</t>
  </si>
  <si>
    <t>L1, L3</t>
  </si>
  <si>
    <t>1K</t>
  </si>
  <si>
    <t>RES SMD 1K OHM 1% 1/10W 0603</t>
  </si>
  <si>
    <t>RC0603FR-071KL</t>
  </si>
  <si>
    <t>Extra Components</t>
  </si>
  <si>
    <t>RFID-RC522</t>
  </si>
  <si>
    <t>Mifare 13.56Mhz RC522 RFID Card Reader Module</t>
  </si>
  <si>
    <t>--------</t>
  </si>
  <si>
    <t>-------</t>
  </si>
  <si>
    <t>-----</t>
  </si>
  <si>
    <t xml:space="preserve">SG90 </t>
  </si>
  <si>
    <t>Amazon</t>
  </si>
  <si>
    <t xml:space="preserve">Laod Cell </t>
  </si>
  <si>
    <t xml:space="preserve">RGB LED </t>
  </si>
  <si>
    <t>22uF</t>
  </si>
  <si>
    <t xml:space="preserve">SG90 Servo Motor, Micro Servo 9G SG90 Kit for RC Robot Arm/Walking Helicopter Airplane Car Boat Control, Micro Servos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</si>
</sst>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.0000"/>
    <numFmt numFmtId="166" formatCode="_(&quot;$&quot;* #,##0.0000_);_(&quot;$&quot;* \(#,##0.0000\);_(&quot;$&quot;* &quot;-&quot;??_);_(@_)"/>
    <numFmt numFmtId="167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1">
    <xf numFmtId="0" fontId="0" fillId="0" borderId="0" xfId="0"/>
    <xf numFmtId="0" fontId="2" fillId="0" borderId="3" xfId="1" applyFont="1" applyBorder="1" applyAlignment="1" applyProtection="1">
      <alignment horizontal="center" vertical="center"/>
    </xf>
    <xf numFmtId="0" fontId="2" fillId="0" borderId="3" xfId="1" applyFont="1" applyBorder="1" applyAlignment="1" applyProtection="1">
      <alignment horizontal="center" vertical="center" wrapText="1"/>
    </xf>
    <xf numFmtId="0" fontId="2" fillId="4" borderId="3" xfId="1" applyFont="1" applyFill="1" applyBorder="1" applyAlignment="1" applyProtection="1">
      <alignment horizontal="center" vertical="center" wrapText="1"/>
    </xf>
    <xf numFmtId="0" fontId="6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6" xfId="1" applyFont="1" applyBorder="1" applyAlignment="1" applyProtection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2" fillId="4" borderId="6" xfId="1" applyFont="1" applyFill="1" applyBorder="1" applyAlignment="1" applyProtection="1">
      <alignment horizontal="center" vertical="center" wrapText="1"/>
    </xf>
    <xf numFmtId="0" fontId="2" fillId="4" borderId="2" xfId="1" applyFont="1" applyFill="1" applyBorder="1" applyAlignment="1" applyProtection="1">
      <alignment horizontal="center" vertical="center" wrapText="1"/>
    </xf>
    <xf numFmtId="0" fontId="2" fillId="0" borderId="2" xfId="1" applyFont="1" applyBorder="1" applyAlignment="1" applyProtection="1">
      <alignment horizontal="center" vertical="center" wrapText="1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11" xfId="1" applyFont="1" applyBorder="1" applyAlignment="1" applyProtection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top"/>
    </xf>
    <xf numFmtId="0" fontId="6" fillId="0" borderId="13" xfId="0" quotePrefix="1" applyFont="1" applyBorder="1" applyAlignment="1">
      <alignment horizontal="left" vertical="top"/>
    </xf>
    <xf numFmtId="0" fontId="6" fillId="0" borderId="14" xfId="0" quotePrefix="1" applyFont="1" applyBorder="1" applyAlignment="1">
      <alignment horizontal="left" vertical="top"/>
    </xf>
    <xf numFmtId="0" fontId="6" fillId="0" borderId="15" xfId="0" quotePrefix="1" applyFont="1" applyBorder="1" applyAlignment="1">
      <alignment horizontal="left" vertical="top"/>
    </xf>
    <xf numFmtId="0" fontId="3" fillId="2" borderId="16" xfId="0" applyFont="1" applyFill="1" applyBorder="1" applyAlignment="1">
      <alignment horizontal="center" vertical="center"/>
    </xf>
    <xf numFmtId="0" fontId="10" fillId="0" borderId="0" xfId="0" applyFont="1" applyBorder="1"/>
    <xf numFmtId="166" fontId="0" fillId="0" borderId="0" xfId="0" applyNumberFormat="1" applyFont="1" applyBorder="1"/>
    <xf numFmtId="164" fontId="0" fillId="0" borderId="0" xfId="0" applyNumberFormat="1" applyFont="1" applyBorder="1"/>
    <xf numFmtId="164" fontId="0" fillId="0" borderId="0" xfId="0" applyNumberFormat="1" applyBorder="1"/>
    <xf numFmtId="166" fontId="0" fillId="0" borderId="0" xfId="0" applyNumberFormat="1" applyBorder="1"/>
    <xf numFmtId="0" fontId="6" fillId="5" borderId="13" xfId="0" quotePrefix="1" applyFont="1" applyFill="1" applyBorder="1" applyAlignment="1">
      <alignment horizontal="left" vertical="top"/>
    </xf>
    <xf numFmtId="0" fontId="6" fillId="5" borderId="3" xfId="0" quotePrefix="1" applyFont="1" applyFill="1" applyBorder="1" applyAlignment="1">
      <alignment horizontal="center" vertical="center"/>
    </xf>
    <xf numFmtId="0" fontId="2" fillId="5" borderId="3" xfId="1" applyFont="1" applyFill="1" applyBorder="1" applyAlignment="1" applyProtection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5" borderId="3" xfId="1" applyFont="1" applyFill="1" applyBorder="1" applyAlignment="1" applyProtection="1">
      <alignment horizontal="center" vertical="center" wrapText="1"/>
    </xf>
    <xf numFmtId="0" fontId="6" fillId="0" borderId="1" xfId="0" quotePrefix="1" applyFont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left" vertical="center"/>
    </xf>
    <xf numFmtId="0" fontId="2" fillId="4" borderId="3" xfId="1" applyFont="1" applyFill="1" applyBorder="1" applyAlignment="1" applyProtection="1">
      <alignment horizontal="center" vertical="center"/>
    </xf>
    <xf numFmtId="0" fontId="2" fillId="4" borderId="11" xfId="1" applyFont="1" applyFill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0" fontId="13" fillId="5" borderId="3" xfId="0" quotePrefix="1" applyFont="1" applyFill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11" xfId="0" quotePrefix="1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 wrapText="1"/>
    </xf>
    <xf numFmtId="0" fontId="8" fillId="3" borderId="26" xfId="0" quotePrefix="1" applyFont="1" applyFill="1" applyBorder="1" applyAlignment="1">
      <alignment horizontal="left" vertical="top" wrapText="1"/>
    </xf>
    <xf numFmtId="0" fontId="8" fillId="3" borderId="27" xfId="0" quotePrefix="1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3" borderId="27" xfId="0" quotePrefix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165" fontId="8" fillId="3" borderId="27" xfId="0" quotePrefix="1" applyNumberFormat="1" applyFont="1" applyFill="1" applyBorder="1" applyAlignment="1">
      <alignment horizontal="center" vertical="center"/>
    </xf>
    <xf numFmtId="167" fontId="9" fillId="3" borderId="28" xfId="0" applyNumberFormat="1" applyFont="1" applyFill="1" applyBorder="1" applyAlignment="1">
      <alignment horizontal="center" vertical="center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quotePrefix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65" fontId="8" fillId="3" borderId="3" xfId="0" quotePrefix="1" applyNumberFormat="1" applyFont="1" applyFill="1" applyBorder="1" applyAlignment="1">
      <alignment horizontal="center" vertical="center"/>
    </xf>
    <xf numFmtId="167" fontId="9" fillId="3" borderId="7" xfId="0" applyNumberFormat="1" applyFont="1" applyFill="1" applyBorder="1" applyAlignment="1">
      <alignment horizontal="center" vertical="center"/>
    </xf>
    <xf numFmtId="0" fontId="8" fillId="3" borderId="13" xfId="0" quotePrefix="1" applyFont="1" applyFill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/>
    </xf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" fillId="0" borderId="3" xfId="1" applyBorder="1" applyAlignment="1" applyProtection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165" fontId="15" fillId="0" borderId="3" xfId="0" applyNumberFormat="1" applyFont="1" applyBorder="1" applyAlignment="1">
      <alignment horizontal="center" vertical="center"/>
    </xf>
    <xf numFmtId="0" fontId="16" fillId="0" borderId="3" xfId="1" applyFont="1" applyBorder="1" applyAlignment="1" applyProtection="1">
      <alignment horizontal="center" vertical="center"/>
    </xf>
    <xf numFmtId="0" fontId="6" fillId="0" borderId="29" xfId="0" quotePrefix="1" applyFont="1" applyFill="1" applyBorder="1" applyAlignment="1">
      <alignment horizontal="center" vertical="center"/>
    </xf>
    <xf numFmtId="0" fontId="6" fillId="0" borderId="31" xfId="0" quotePrefix="1" applyFont="1" applyBorder="1" applyAlignment="1">
      <alignment horizontal="left" vertical="top"/>
    </xf>
    <xf numFmtId="0" fontId="6" fillId="0" borderId="32" xfId="0" quotePrefix="1" applyFont="1" applyBorder="1" applyAlignment="1">
      <alignment horizontal="center" vertical="center"/>
    </xf>
    <xf numFmtId="0" fontId="2" fillId="4" borderId="32" xfId="1" applyFont="1" applyFill="1" applyBorder="1" applyAlignment="1" applyProtection="1">
      <alignment horizontal="center" vertical="center" wrapText="1"/>
    </xf>
    <xf numFmtId="0" fontId="4" fillId="0" borderId="32" xfId="0" quotePrefix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32" xfId="1" applyFont="1" applyBorder="1" applyAlignment="1" applyProtection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6" fillId="0" borderId="34" xfId="0" quotePrefix="1" applyFont="1" applyBorder="1" applyAlignment="1">
      <alignment horizontal="left" vertical="top"/>
    </xf>
    <xf numFmtId="0" fontId="6" fillId="0" borderId="35" xfId="0" quotePrefix="1" applyFont="1" applyBorder="1" applyAlignment="1">
      <alignment horizontal="left" vertical="top"/>
    </xf>
    <xf numFmtId="0" fontId="6" fillId="0" borderId="36" xfId="0" quotePrefix="1" applyFont="1" applyBorder="1" applyAlignment="1">
      <alignment horizontal="left" vertical="top"/>
    </xf>
    <xf numFmtId="0" fontId="1" fillId="0" borderId="2" xfId="1" applyBorder="1" applyAlignment="1" applyProtection="1">
      <alignment horizontal="center" vertical="center"/>
    </xf>
    <xf numFmtId="0" fontId="1" fillId="5" borderId="3" xfId="1" applyFill="1" applyBorder="1" applyAlignment="1" applyProtection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2" fillId="0" borderId="32" xfId="1" applyFont="1" applyBorder="1" applyAlignment="1" applyProtection="1">
      <alignment horizontal="center" vertical="center" wrapText="1"/>
    </xf>
    <xf numFmtId="0" fontId="8" fillId="0" borderId="3" xfId="0" quotePrefix="1" applyFont="1" applyBorder="1" applyAlignment="1">
      <alignment horizontal="center" vertical="center"/>
    </xf>
    <xf numFmtId="0" fontId="13" fillId="0" borderId="37" xfId="0" quotePrefix="1" applyFont="1" applyBorder="1" applyAlignment="1">
      <alignment horizontal="center" vertical="center"/>
    </xf>
    <xf numFmtId="0" fontId="13" fillId="0" borderId="27" xfId="0" quotePrefix="1" applyFont="1" applyBorder="1" applyAlignment="1">
      <alignment horizontal="center" vertical="center"/>
    </xf>
    <xf numFmtId="0" fontId="0" fillId="0" borderId="0" xfId="0" applyAlignment="1"/>
    <xf numFmtId="0" fontId="0" fillId="0" borderId="0" xfId="0" quotePrefix="1" applyAlignment="1">
      <alignment horizontal="center"/>
    </xf>
    <xf numFmtId="0" fontId="1" fillId="0" borderId="0" xfId="1" quotePrefix="1" applyAlignment="1" applyProtection="1">
      <alignment horizontal="center"/>
    </xf>
    <xf numFmtId="0" fontId="6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6" fillId="0" borderId="13" xfId="0" quotePrefix="1" applyFont="1" applyBorder="1" applyAlignment="1">
      <alignment horizontal="left" vertical="top" wrapText="1"/>
    </xf>
    <xf numFmtId="0" fontId="1" fillId="0" borderId="0" xfId="1" applyAlignment="1" applyProtection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brand-detail/296.html" TargetMode="External"/><Relationship Id="rId21" Type="http://schemas.openxmlformats.org/officeDocument/2006/relationships/hyperlink" Target="https://www.digikey.com/en/supplier-centers/sunled" TargetMode="External"/><Relationship Id="rId42" Type="http://schemas.openxmlformats.org/officeDocument/2006/relationships/hyperlink" Target="https://www.digikey.com/en/supplier-centers/vishay-dale" TargetMode="External"/><Relationship Id="rId47" Type="http://schemas.openxmlformats.org/officeDocument/2006/relationships/hyperlink" Target="https://www.digikey.com/en/supplier-centers/texas-instruments" TargetMode="External"/><Relationship Id="rId63" Type="http://schemas.openxmlformats.org/officeDocument/2006/relationships/hyperlink" Target="https://www.digikey.com/en/products/detail/on-semiconductor/FDN306P/965300?s=N4IgTCBcDaIGIBEByBmADANgAogLoF8g" TargetMode="External"/><Relationship Id="rId68" Type="http://schemas.openxmlformats.org/officeDocument/2006/relationships/hyperlink" Target="https://www.digikey.com/en/products/detail/omron-electronics-inc-emc-div/B3U-1000P/1534338" TargetMode="External"/><Relationship Id="rId16" Type="http://schemas.openxmlformats.org/officeDocument/2006/relationships/hyperlink" Target="https://www.digikey.com/en/products/detail/nichicon/UWX1E101MCL1GB/589854?s=N4IgTCBcDaIKoHUAaBGAoigDCgsgYQBkUBxAIRAF0BfIA" TargetMode="External"/><Relationship Id="rId11" Type="http://schemas.openxmlformats.org/officeDocument/2006/relationships/hyperlink" Target="https://lcsc.com/brand-detail/853.html" TargetMode="External"/><Relationship Id="rId32" Type="http://schemas.openxmlformats.org/officeDocument/2006/relationships/hyperlink" Target="https://www.digikey.com/en/products/detail/yageo/RC0603FR-0754K9L/727298?s=N4IgTCBcDaIEoGEAMA2JBmAYnAtEg7AKwAsA0gJwAyIAugL5A" TargetMode="External"/><Relationship Id="rId37" Type="http://schemas.openxmlformats.org/officeDocument/2006/relationships/hyperlink" Target="https://www.digikey.com/en/supplier-centers/vishay-dale" TargetMode="External"/><Relationship Id="rId53" Type="http://schemas.openxmlformats.org/officeDocument/2006/relationships/hyperlink" Target="https://www.digikey.com/en/products/detail/analog-devices-inc/LT3652EDD-PBF/2138757?s=N4IgTCBcDaIDIBUDMA2ArGAogEWwYgAUAhAMRAF0BfIA" TargetMode="External"/><Relationship Id="rId58" Type="http://schemas.openxmlformats.org/officeDocument/2006/relationships/hyperlink" Target="https://www.digikey.com/en/products/detail/kemet/EXV477M025A9PAA/7319818" TargetMode="External"/><Relationship Id="rId74" Type="http://schemas.openxmlformats.org/officeDocument/2006/relationships/hyperlink" Target="https://www.digikey.com/en/products/detail/murata-electronics/GRM188R61E106MA73J/4905347" TargetMode="External"/><Relationship Id="rId79" Type="http://schemas.openxmlformats.org/officeDocument/2006/relationships/hyperlink" Target="https://lcsc.com/brand-detail/396.html" TargetMode="External"/><Relationship Id="rId5" Type="http://schemas.openxmlformats.org/officeDocument/2006/relationships/hyperlink" Target="https://lcsc.com/brand-detail/994.html" TargetMode="External"/><Relationship Id="rId61" Type="http://schemas.openxmlformats.org/officeDocument/2006/relationships/hyperlink" Target="https://pl.aliexpress.com/item/32953466291.html?spm=a2g0o.productlist.0.0.2bc31510R6VVis&amp;algo_pvid=7d2c758a-230d-4a2e-ba9f-ea8d864ba242&amp;algo_expid=7d2c758a-230d-4a2e-ba9f-ea8d864ba242-18&amp;btsid=0b0a556716186367621736550ede56&amp;ws_ab_test=searchweb0_0,search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www.digikey.com/en/supplier-centers/central-semiconductor" TargetMode="External"/><Relationship Id="rId14" Type="http://schemas.openxmlformats.org/officeDocument/2006/relationships/hyperlink" Target="https://www.digikey.com/en/products/detail/samsung-electro-mechanics/CL10A105KA8NNNC/3886760?s=N4IgTCBcDaIMIBkCMAGAgqgrAaTQDgDki4QBdAXyA" TargetMode="External"/><Relationship Id="rId22" Type="http://schemas.openxmlformats.org/officeDocument/2006/relationships/hyperlink" Target="https://www.digikey.com/en/products/detail/sunled/XZVG68W-2/4745975?s=N4IgTCBcDaIBoC0BqBxAbADgOoFoIF0BfIA" TargetMode="External"/><Relationship Id="rId27" Type="http://schemas.openxmlformats.org/officeDocument/2006/relationships/hyperlink" Target="https://www.digikey.com/en/supplier-centers/tdk" TargetMode="External"/><Relationship Id="rId30" Type="http://schemas.openxmlformats.org/officeDocument/2006/relationships/hyperlink" Target="https://www.digikey.com/en/supplier-centers/te-connectivity-amp" TargetMode="External"/><Relationship Id="rId35" Type="http://schemas.openxmlformats.org/officeDocument/2006/relationships/hyperlink" Target="https://www.digikey.com/en/supplier-centers/panasonic" TargetMode="External"/><Relationship Id="rId43" Type="http://schemas.openxmlformats.org/officeDocument/2006/relationships/hyperlink" Target="https://www.digikey.com/en/supplier-centers/yageo" TargetMode="External"/><Relationship Id="rId48" Type="http://schemas.openxmlformats.org/officeDocument/2006/relationships/hyperlink" Target="https://www.digikey.com/en/supplier-centers/stmicroelectronics" TargetMode="External"/><Relationship Id="rId56" Type="http://schemas.openxmlformats.org/officeDocument/2006/relationships/hyperlink" Target="https://www.digikey.com/en/products/detail/jst-sales-america-inc/B7B-XH-A-LF-SN/1651050?s=N4IgTCBcDaIEIHY4FoAaAJZBBAFAGQDEBKHAZQDkiQBdAXyA" TargetMode="External"/><Relationship Id="rId64" Type="http://schemas.openxmlformats.org/officeDocument/2006/relationships/hyperlink" Target="https://www.digikey.com/en/products/detail/yageo/AC0603JR-07470KL/5896462?s=N4IgTCBcDaIIIGEAMA2JBmAUgJQLRIHYAWApAaQBkQBdAXyA" TargetMode="External"/><Relationship Id="rId69" Type="http://schemas.openxmlformats.org/officeDocument/2006/relationships/hyperlink" Target="https://lcsc.com/brand-detail/877.html" TargetMode="External"/><Relationship Id="rId77" Type="http://schemas.openxmlformats.org/officeDocument/2006/relationships/hyperlink" Target="https://www.digikey.com/en/products/detail/lite-on-inc/LTST-C170KSKT/386781?s=N4IgTCBcDaIDIBUDKCC0BhAjAdgAwGkl8EQBdAXyA" TargetMode="External"/><Relationship Id="rId8" Type="http://schemas.openxmlformats.org/officeDocument/2006/relationships/hyperlink" Target="https://lcsc.com/brand-detail/396.html" TargetMode="External"/><Relationship Id="rId51" Type="http://schemas.openxmlformats.org/officeDocument/2006/relationships/hyperlink" Target="https://lcsc.com/brand-detail/853.html" TargetMode="External"/><Relationship Id="rId72" Type="http://schemas.openxmlformats.org/officeDocument/2006/relationships/hyperlink" Target="https://www.digikey.com/en/products/detail/rohm-semiconductor/BD48K50G-TL/3693306?s=N4IgTCBcDaIEIBEAsAOA0gVgAwHEC0AKgDIgC6AvkA" TargetMode="External"/><Relationship Id="rId80" Type="http://schemas.openxmlformats.org/officeDocument/2006/relationships/hyperlink" Target="https://www.amazon.com/Micro-Helicopter-Airplane-Remote-Control/dp/B072V529YD" TargetMode="External"/><Relationship Id="rId3" Type="http://schemas.openxmlformats.org/officeDocument/2006/relationships/hyperlink" Target="https://lcsc.com/brand-detail/392.html" TargetMode="External"/><Relationship Id="rId12" Type="http://schemas.openxmlformats.org/officeDocument/2006/relationships/hyperlink" Target="https://lcsc.com/brand-detail/109.html" TargetMode="External"/><Relationship Id="rId17" Type="http://schemas.openxmlformats.org/officeDocument/2006/relationships/hyperlink" Target="https://lcsc.com/brand-detail/994.html" TargetMode="External"/><Relationship Id="rId25" Type="http://schemas.openxmlformats.org/officeDocument/2006/relationships/hyperlink" Target="https://www.digikey.com/en/products/detail/tdk-corporation/SLF10145T-100M2R5-PF/755327?s=N4IgTCBcDaIMoBkBiBGADCgLAVgCoFp00BZMAJW3wAUkQBdAXyA" TargetMode="External"/><Relationship Id="rId33" Type="http://schemas.openxmlformats.org/officeDocument/2006/relationships/hyperlink" Target="https://www.digikey.com/en/supplier-centers/rohm-semi" TargetMode="External"/><Relationship Id="rId38" Type="http://schemas.openxmlformats.org/officeDocument/2006/relationships/hyperlink" Target="https://www.digikey.com/en/products/detail/vishay-dale/RCA0603100RFKEAHP/6561241?s=N4IgTCBcDaIEoGECCAGAbCgzARhSuAYgNICiSAEgAogC6AvkA" TargetMode="External"/><Relationship Id="rId46" Type="http://schemas.openxmlformats.org/officeDocument/2006/relationships/hyperlink" Target="https://www.digikey.com/en/products/detail/stackpole-electronics-inc/RMCF0603FT5K10/1760908?s=N4IgTCBcDaIEoFkDCAxADANjQZhQFQFYBpARjRAF0BfIA" TargetMode="External"/><Relationship Id="rId59" Type="http://schemas.openxmlformats.org/officeDocument/2006/relationships/hyperlink" Target="https://www.aliexpress.com/item/4000994283828.html" TargetMode="External"/><Relationship Id="rId67" Type="http://schemas.openxmlformats.org/officeDocument/2006/relationships/hyperlink" Target="https://www.digikey.com/en/supplier-centers/te-connectivity-amp" TargetMode="External"/><Relationship Id="rId20" Type="http://schemas.openxmlformats.org/officeDocument/2006/relationships/hyperlink" Target="https://www.digikey.com/en/products/detail/diodes-incorporated/S1A-13-F/749977" TargetMode="External"/><Relationship Id="rId41" Type="http://schemas.openxmlformats.org/officeDocument/2006/relationships/hyperlink" Target="https://www.digikey.com/en/products/detail/vishay-dale/CRCW0603536KFKEA/1174979" TargetMode="External"/><Relationship Id="rId54" Type="http://schemas.openxmlformats.org/officeDocument/2006/relationships/hyperlink" Target="https://www.digikey.com/en/products/detail/jst-sales-america-inc/B2B-XH-A-LF-SN/1651045?s=N4IgTCBcDaIEJjgWgBoAkkEEAUAZAYgJTYDKAcoSALoC%2BQA" TargetMode="External"/><Relationship Id="rId62" Type="http://schemas.openxmlformats.org/officeDocument/2006/relationships/hyperlink" Target="https://eu.mouser.com/ProductDetail/Comchip-Technology/SS54B-HF?qs=sGAEpiMZZMsG1k5vdNM%2Fc1i8eaIk1f%2FD%252BdMZ8lFygyY=" TargetMode="External"/><Relationship Id="rId70" Type="http://schemas.openxmlformats.org/officeDocument/2006/relationships/hyperlink" Target="https://www.digikey.com/en/products/detail/analog-devices-inc/LTC4412IS6-TRPBF/1746323?s=N4IgTCBcDaIDIBUDCAWFBGMBJAygNgGIEAlABQCEAxEAXQF8g" TargetMode="External"/><Relationship Id="rId75" Type="http://schemas.openxmlformats.org/officeDocument/2006/relationships/hyperlink" Target="https://www.digikey.com/en/products/detail/yageo/CC0603KRX5R8BB225/5195194" TargetMode="External"/><Relationship Id="rId1" Type="http://schemas.openxmlformats.org/officeDocument/2006/relationships/hyperlink" Target="https://lcsc.com/brand-detail/254.html" TargetMode="External"/><Relationship Id="rId6" Type="http://schemas.openxmlformats.org/officeDocument/2006/relationships/hyperlink" Target="https://lcsc.com/brand-detail/296.html" TargetMode="External"/><Relationship Id="rId15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23" Type="http://schemas.openxmlformats.org/officeDocument/2006/relationships/hyperlink" Target="https://www.digikey.com/en/supplier-centers/wurth-electronics" TargetMode="External"/><Relationship Id="rId28" Type="http://schemas.openxmlformats.org/officeDocument/2006/relationships/hyperlink" Target="https://www.digikey.com/en/products/detail/diodes-incorporated/MMBT2222A-7-F/814503?s=N4IgTCBcDaILJwEIBUxrAQQLQHYsDEQBdAXyA" TargetMode="External"/><Relationship Id="rId36" Type="http://schemas.openxmlformats.org/officeDocument/2006/relationships/hyperlink" Target="https://www.digikey.com/en/products/detail/panasonic-electronic-components/ERJ-PA3J822V/5036103?s=N4IgTCBcDaIKICUBSBaACgQQMxIBxjADUQBdAXyA" TargetMode="External"/><Relationship Id="rId49" Type="http://schemas.openxmlformats.org/officeDocument/2006/relationships/hyperlink" Target="https://www.digikey.com/en/products/detail/stmicroelectronics/LDF33DT-TR/4841765?s=N4IgTCBcDaIDIBEBiBmFCAqBaDAlEAugL5A" TargetMode="External"/><Relationship Id="rId57" Type="http://schemas.openxmlformats.org/officeDocument/2006/relationships/hyperlink" Target="https://www.digikey.com/en/products/detail/te-connectivity-amp-connectors/2305018-2/8680920" TargetMode="External"/><Relationship Id="rId10" Type="http://schemas.openxmlformats.org/officeDocument/2006/relationships/hyperlink" Target="https://lcsc.com/brand-detail/100.html" TargetMode="External"/><Relationship Id="rId31" Type="http://schemas.openxmlformats.org/officeDocument/2006/relationships/hyperlink" Target="https://www.digikey.com/en/products/detail/te-connectivity-passive-product/CRGH0603J10K/2385379?s=N4IgTCBcDaIMICUDiAJADANjQZgFIEY0BpEAXQF8g" TargetMode="External"/><Relationship Id="rId44" Type="http://schemas.openxmlformats.org/officeDocument/2006/relationships/hyperlink" Target="https://www.digikey.com/en/products/detail/yageo/RC0603FR-07453KL/727247?s=N4IgTCBcDaIEoGEAMA2JBmAYnAtEg7ACwCs6A0gDIgC6AvkA" TargetMode="External"/><Relationship Id="rId52" Type="http://schemas.openxmlformats.org/officeDocument/2006/relationships/hyperlink" Target="https://www.digikey.com/en/supplier-centers/analog-devices" TargetMode="External"/><Relationship Id="rId60" Type="http://schemas.openxmlformats.org/officeDocument/2006/relationships/hyperlink" Target="https://www.digikey.com/en/products/detail/espressif-systems/ESP32-WROOM-32D-8MB/9381717?s=N4IgTCBcDaIKIGUAKBmMBaA6gJQPK4Fl00ARAAgAoAOAgIQEoQBdAXyA" TargetMode="External"/><Relationship Id="rId65" Type="http://schemas.openxmlformats.org/officeDocument/2006/relationships/hyperlink" Target="https://lcsc.com/brand-detail/396.html" TargetMode="External"/><Relationship Id="rId73" Type="http://schemas.openxmlformats.org/officeDocument/2006/relationships/hyperlink" Target="https://www.arrow.com/en/products/b3b-xh-a-lf-sn/jst-manufacturing" TargetMode="External"/><Relationship Id="rId78" Type="http://schemas.openxmlformats.org/officeDocument/2006/relationships/hyperlink" Target="https://www.digikey.com/en/products/detail/panasonic-electronic-components/ERA-3VEB4700V/12085013?s=N4IgTCBcDaIKICUCCBmAanAQgFgOwAZ80QBdAXyA" TargetMode="External"/><Relationship Id="rId81" Type="http://schemas.openxmlformats.org/officeDocument/2006/relationships/hyperlink" Target="https://www.amazon.com/SunFounder-Mifare-Reader-Arduino-Raspberry/dp/B07KGBJ9VG" TargetMode="External"/><Relationship Id="rId4" Type="http://schemas.openxmlformats.org/officeDocument/2006/relationships/hyperlink" Target="https://lcsc.com/brand-detail/254.html" TargetMode="External"/><Relationship Id="rId9" Type="http://schemas.openxmlformats.org/officeDocument/2006/relationships/hyperlink" Target="https://lcsc.com/brand-detail/756.html" TargetMode="External"/><Relationship Id="rId13" Type="http://schemas.openxmlformats.org/officeDocument/2006/relationships/hyperlink" Target="https://www.digikey.com/en/products/detail/samsung-electro-mechanics/CL10B104KB8NNNL/3894274?s=N4IgTCBcDaIMIBkCMAGAQqgLAaTQDgDkiEQBdAXyA" TargetMode="External"/><Relationship Id="rId18" Type="http://schemas.openxmlformats.org/officeDocument/2006/relationships/hyperlink" Target="https://www.digikey.com/en/products/detail/central-semiconductor-corp/CMSH3-40MA-TR13-PBFREE/4897045?s=N4IgTCBcDaIMIFkDKAJAzAWgCwAYEEEACAFQCUBGNQgBQCEAxUgUSZAF0BfIA" TargetMode="External"/><Relationship Id="rId39" Type="http://schemas.openxmlformats.org/officeDocument/2006/relationships/hyperlink" Target="https://www.digikey.com/en/supplier-centers/vishay-dale" TargetMode="External"/><Relationship Id="rId34" Type="http://schemas.openxmlformats.org/officeDocument/2006/relationships/hyperlink" Target="https://www.digikey.com/en/products/detail/rohm-semiconductor/ESR03EZPF2002/1983437?s=N4IgTCBcDaIKIGUBKAGAzHAWgBQGJhRQgF0BfIA" TargetMode="External"/><Relationship Id="rId50" Type="http://schemas.openxmlformats.org/officeDocument/2006/relationships/hyperlink" Target="https://www.digikey.com/en/products/detail/texas-instruments/SN74LV1T34DBVR/4555575" TargetMode="External"/><Relationship Id="rId55" Type="http://schemas.openxmlformats.org/officeDocument/2006/relationships/hyperlink" Target="https://www.digikey.com/en/products/detail/jst-sales-america-inc/B4B-XH-A-LF-SN/1651047?s=N4IgTCBcDaIEIBY4FoAaAJZBBAFAGQDEBKHAZQDkiQBdAXyA" TargetMode="External"/><Relationship Id="rId76" Type="http://schemas.openxmlformats.org/officeDocument/2006/relationships/hyperlink" Target="https://www.digikey.com/en/products/detail/te-connectivity-passive-product/CRGH0603J100K/2385403?s=N4IgTCBcDaIMICUDiAJADANjQZgFIEY00BpEAXQF8g" TargetMode="External"/><Relationship Id="rId7" Type="http://schemas.openxmlformats.org/officeDocument/2006/relationships/hyperlink" Target="https://lcsc.com/brand-detail/94.html" TargetMode="External"/><Relationship Id="rId71" Type="http://schemas.openxmlformats.org/officeDocument/2006/relationships/hyperlink" Target="https://www.digikey.com/en/products/detail/vishay-siliconix/SI3865DDV-T1-GE3/4563551?s=N4IgTCBcDaIMoEkDMAOAbAVgCJYGoFoAVARnwHEBRJEAXQF8g" TargetMode="External"/><Relationship Id="rId2" Type="http://schemas.openxmlformats.org/officeDocument/2006/relationships/hyperlink" Target="https://lcsc.com/brand-detail/254.html" TargetMode="External"/><Relationship Id="rId29" Type="http://schemas.openxmlformats.org/officeDocument/2006/relationships/hyperlink" Target="https://www.digikey.com/en/products/detail/on-semiconductor/MMBT4403LT1G/919609" TargetMode="External"/><Relationship Id="rId24" Type="http://schemas.openxmlformats.org/officeDocument/2006/relationships/hyperlink" Target="https://www.digikey.com/en/products/detail/w%C3%BCrth-elektronik/74437368033/2791109?s=N4IgTCBcDaIOwBYEGY7IGwA4AMzkgF0BfIA" TargetMode="External"/><Relationship Id="rId40" Type="http://schemas.openxmlformats.org/officeDocument/2006/relationships/hyperlink" Target="https://www.digikey.com/en/products/detail/vishay-dale/CRCW0603301KFKEB/5072030" TargetMode="External"/><Relationship Id="rId45" Type="http://schemas.openxmlformats.org/officeDocument/2006/relationships/hyperlink" Target="https://www.digikey.com/en/supplier-centers/stackpole-electronics" TargetMode="External"/><Relationship Id="rId66" Type="http://schemas.openxmlformats.org/officeDocument/2006/relationships/hyperlink" Target="https://www.digikey.com/en/products/detail/vishay-dale/WSL2010R0500FEA/712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abSelected="1" topLeftCell="A43" zoomScaleNormal="100" workbookViewId="0">
      <selection activeCell="C57" sqref="C57"/>
    </sheetView>
  </sheetViews>
  <sheetFormatPr defaultRowHeight="15" x14ac:dyDescent="0.25"/>
  <cols>
    <col min="1" max="1" width="6.140625" bestFit="1" customWidth="1"/>
    <col min="2" max="2" width="17.42578125" bestFit="1" customWidth="1"/>
    <col min="3" max="3" width="62.140625" bestFit="1" customWidth="1"/>
    <col min="4" max="4" width="41" bestFit="1" customWidth="1"/>
    <col min="5" max="5" width="20.28515625" bestFit="1" customWidth="1"/>
    <col min="6" max="6" width="25.140625" bestFit="1" customWidth="1"/>
    <col min="7" max="7" width="25.28515625" bestFit="1" customWidth="1"/>
    <col min="8" max="8" width="20.28515625" bestFit="1" customWidth="1"/>
    <col min="9" max="9" width="6.140625" bestFit="1" customWidth="1"/>
    <col min="10" max="10" width="19.42578125" bestFit="1" customWidth="1"/>
    <col min="11" max="11" width="10.140625" bestFit="1" customWidth="1"/>
    <col min="12" max="12" width="11.7109375" bestFit="1" customWidth="1"/>
    <col min="13" max="13" width="11.42578125" bestFit="1" customWidth="1"/>
    <col min="14" max="14" width="12.140625" bestFit="1" customWidth="1"/>
    <col min="15" max="15" width="18.5703125" bestFit="1" customWidth="1"/>
    <col min="16" max="16" width="14" bestFit="1" customWidth="1"/>
    <col min="17" max="17" width="44.85546875" bestFit="1" customWidth="1"/>
  </cols>
  <sheetData>
    <row r="1" spans="1:17" ht="16.5" thickBot="1" x14ac:dyDescent="0.3">
      <c r="A1" s="109" t="s">
        <v>161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1"/>
    </row>
    <row r="2" spans="1:17" ht="15.75" thickBot="1" x14ac:dyDescent="0.3">
      <c r="A2" s="67" t="s">
        <v>0</v>
      </c>
      <c r="B2" s="68" t="s">
        <v>1</v>
      </c>
      <c r="C2" s="68" t="s">
        <v>2</v>
      </c>
      <c r="D2" s="68" t="s">
        <v>3</v>
      </c>
      <c r="E2" s="68" t="s">
        <v>4</v>
      </c>
      <c r="F2" s="68" t="s">
        <v>5</v>
      </c>
      <c r="G2" s="68" t="s">
        <v>6</v>
      </c>
      <c r="H2" s="68" t="s">
        <v>7</v>
      </c>
      <c r="I2" s="68" t="s">
        <v>8</v>
      </c>
      <c r="J2" s="68" t="s">
        <v>9</v>
      </c>
      <c r="K2" s="68" t="s">
        <v>10</v>
      </c>
      <c r="L2" s="68" t="s">
        <v>11</v>
      </c>
      <c r="M2" s="68" t="s">
        <v>12</v>
      </c>
      <c r="N2" s="68" t="s">
        <v>13</v>
      </c>
      <c r="O2" s="68" t="s">
        <v>14</v>
      </c>
      <c r="P2" s="68" t="s">
        <v>146</v>
      </c>
      <c r="Q2" s="68" t="s">
        <v>147</v>
      </c>
    </row>
    <row r="3" spans="1:17" ht="26.25" thickBot="1" x14ac:dyDescent="0.3">
      <c r="A3" s="37">
        <v>1</v>
      </c>
      <c r="B3" s="125" t="s">
        <v>213</v>
      </c>
      <c r="C3" s="90" t="s">
        <v>15</v>
      </c>
      <c r="D3" s="69" t="s">
        <v>220</v>
      </c>
      <c r="E3" s="15" t="s">
        <v>16</v>
      </c>
      <c r="F3" s="15" t="s">
        <v>17</v>
      </c>
      <c r="G3" s="16" t="s">
        <v>18</v>
      </c>
      <c r="H3" s="56" t="s">
        <v>165</v>
      </c>
      <c r="I3" s="15" t="s">
        <v>126</v>
      </c>
      <c r="J3" s="18">
        <v>13</v>
      </c>
      <c r="K3" s="17">
        <f>J3*5</f>
        <v>65</v>
      </c>
      <c r="L3" s="16" t="s">
        <v>145</v>
      </c>
      <c r="M3" s="19">
        <v>0.03</v>
      </c>
      <c r="N3" s="20">
        <f>M3*J3</f>
        <v>0.39</v>
      </c>
      <c r="O3" s="19">
        <v>1.66E-2</v>
      </c>
      <c r="P3" s="20">
        <f>O3*K3</f>
        <v>1.079</v>
      </c>
      <c r="Q3" s="21"/>
    </row>
    <row r="4" spans="1:17" ht="15.75" thickBot="1" x14ac:dyDescent="0.3">
      <c r="A4" s="37">
        <v>2</v>
      </c>
      <c r="B4" s="126"/>
      <c r="C4" s="34" t="s">
        <v>19</v>
      </c>
      <c r="D4" s="63" t="s">
        <v>221</v>
      </c>
      <c r="E4" s="4" t="s">
        <v>16</v>
      </c>
      <c r="F4" s="4" t="s">
        <v>20</v>
      </c>
      <c r="G4" s="1" t="s">
        <v>18</v>
      </c>
      <c r="H4" s="57" t="s">
        <v>165</v>
      </c>
      <c r="I4" s="4" t="s">
        <v>127</v>
      </c>
      <c r="J4" s="6">
        <v>7</v>
      </c>
      <c r="K4" s="17">
        <f t="shared" ref="K4:K56" si="0">J4*5</f>
        <v>35</v>
      </c>
      <c r="L4" s="1" t="s">
        <v>145</v>
      </c>
      <c r="M4" s="13">
        <v>0.1</v>
      </c>
      <c r="N4" s="12">
        <f t="shared" ref="N4:N50" si="1">M4*J4</f>
        <v>0.70000000000000007</v>
      </c>
      <c r="O4" s="13">
        <v>3.5000000000000003E-2</v>
      </c>
      <c r="P4" s="12">
        <f t="shared" ref="P4:P50" si="2">O4*K4</f>
        <v>1.2250000000000001</v>
      </c>
      <c r="Q4" s="7"/>
    </row>
    <row r="5" spans="1:17" ht="15.75" thickBot="1" x14ac:dyDescent="0.3">
      <c r="A5" s="37">
        <v>3</v>
      </c>
      <c r="B5" s="126"/>
      <c r="C5" s="34" t="s">
        <v>222</v>
      </c>
      <c r="D5" s="63" t="s">
        <v>223</v>
      </c>
      <c r="E5" s="4" t="s">
        <v>16</v>
      </c>
      <c r="F5" s="4" t="s">
        <v>224</v>
      </c>
      <c r="G5" s="1" t="s">
        <v>155</v>
      </c>
      <c r="H5" s="57" t="s">
        <v>165</v>
      </c>
      <c r="I5" s="4" t="s">
        <v>225</v>
      </c>
      <c r="J5" s="6">
        <v>1</v>
      </c>
      <c r="K5" s="17">
        <f t="shared" si="0"/>
        <v>5</v>
      </c>
      <c r="L5" s="92" t="s">
        <v>226</v>
      </c>
      <c r="M5" s="91">
        <v>0.4</v>
      </c>
      <c r="N5" s="12">
        <f t="shared" si="1"/>
        <v>0.4</v>
      </c>
      <c r="O5" s="91">
        <v>0.4</v>
      </c>
      <c r="P5" s="12">
        <f t="shared" si="2"/>
        <v>2</v>
      </c>
      <c r="Q5" s="7"/>
    </row>
    <row r="6" spans="1:17" ht="15.75" thickBot="1" x14ac:dyDescent="0.3">
      <c r="A6" s="37">
        <v>4</v>
      </c>
      <c r="B6" s="126"/>
      <c r="C6" s="34" t="s">
        <v>21</v>
      </c>
      <c r="D6" s="63" t="s">
        <v>227</v>
      </c>
      <c r="E6" s="4" t="s">
        <v>16</v>
      </c>
      <c r="F6" s="128" t="s">
        <v>22</v>
      </c>
      <c r="G6" s="2" t="s">
        <v>23</v>
      </c>
      <c r="H6" s="57" t="s">
        <v>219</v>
      </c>
      <c r="I6" s="4" t="s">
        <v>128</v>
      </c>
      <c r="J6" s="6">
        <v>6</v>
      </c>
      <c r="K6" s="17">
        <f t="shared" si="0"/>
        <v>30</v>
      </c>
      <c r="L6" s="89" t="s">
        <v>145</v>
      </c>
      <c r="M6" s="13">
        <v>0.36</v>
      </c>
      <c r="N6" s="12">
        <f t="shared" si="1"/>
        <v>2.16</v>
      </c>
      <c r="O6" s="13">
        <v>0.246</v>
      </c>
      <c r="P6" s="12">
        <f t="shared" si="2"/>
        <v>7.38</v>
      </c>
      <c r="Q6" s="7"/>
    </row>
    <row r="7" spans="1:17" ht="15.75" thickBot="1" x14ac:dyDescent="0.3">
      <c r="A7" s="37">
        <v>5</v>
      </c>
      <c r="B7" s="126"/>
      <c r="C7" s="34" t="s">
        <v>24</v>
      </c>
      <c r="D7" s="63" t="s">
        <v>25</v>
      </c>
      <c r="E7" s="4" t="s">
        <v>16</v>
      </c>
      <c r="F7" s="4" t="s">
        <v>26</v>
      </c>
      <c r="G7" s="2" t="s">
        <v>18</v>
      </c>
      <c r="H7" s="57" t="s">
        <v>165</v>
      </c>
      <c r="I7" s="4" t="s">
        <v>129</v>
      </c>
      <c r="J7" s="6">
        <v>2</v>
      </c>
      <c r="K7" s="17">
        <f t="shared" si="0"/>
        <v>10</v>
      </c>
      <c r="L7" s="1" t="s">
        <v>145</v>
      </c>
      <c r="M7" s="13">
        <v>0.39</v>
      </c>
      <c r="N7" s="12">
        <f t="shared" si="1"/>
        <v>0.78</v>
      </c>
      <c r="O7" s="13">
        <v>0.27</v>
      </c>
      <c r="P7" s="12">
        <f t="shared" si="2"/>
        <v>2.7</v>
      </c>
      <c r="Q7" s="7"/>
    </row>
    <row r="8" spans="1:17" ht="15.75" thickBot="1" x14ac:dyDescent="0.3">
      <c r="A8" s="37">
        <v>6</v>
      </c>
      <c r="B8" s="126"/>
      <c r="C8" s="34" t="s">
        <v>27</v>
      </c>
      <c r="D8" s="63" t="s">
        <v>228</v>
      </c>
      <c r="E8" s="4" t="s">
        <v>166</v>
      </c>
      <c r="F8" s="4" t="s">
        <v>28</v>
      </c>
      <c r="G8" s="2" t="s">
        <v>29</v>
      </c>
      <c r="H8" s="57" t="s">
        <v>165</v>
      </c>
      <c r="I8" s="4" t="s">
        <v>130</v>
      </c>
      <c r="J8" s="6">
        <v>2</v>
      </c>
      <c r="K8" s="17">
        <f t="shared" si="0"/>
        <v>10</v>
      </c>
      <c r="L8" s="1" t="s">
        <v>145</v>
      </c>
      <c r="M8" s="13">
        <v>0.5</v>
      </c>
      <c r="N8" s="12">
        <f t="shared" si="1"/>
        <v>1</v>
      </c>
      <c r="O8" s="13">
        <v>0.34799999999999998</v>
      </c>
      <c r="P8" s="12">
        <f t="shared" si="2"/>
        <v>3.4799999999999995</v>
      </c>
      <c r="Q8" s="7"/>
    </row>
    <row r="9" spans="1:17" ht="15.75" thickBot="1" x14ac:dyDescent="0.3">
      <c r="A9" s="37">
        <v>7</v>
      </c>
      <c r="B9" s="126"/>
      <c r="C9" s="43" t="s">
        <v>30</v>
      </c>
      <c r="D9" s="64" t="s">
        <v>31</v>
      </c>
      <c r="E9" s="44" t="s">
        <v>166</v>
      </c>
      <c r="F9" s="128" t="s">
        <v>32</v>
      </c>
      <c r="G9" s="2" t="s">
        <v>29</v>
      </c>
      <c r="H9" s="5" t="s">
        <v>159</v>
      </c>
      <c r="I9" s="4" t="s">
        <v>131</v>
      </c>
      <c r="J9" s="6">
        <v>2</v>
      </c>
      <c r="K9" s="17">
        <f t="shared" si="0"/>
        <v>10</v>
      </c>
      <c r="L9" s="1" t="s">
        <v>145</v>
      </c>
      <c r="M9" s="13">
        <v>0.97</v>
      </c>
      <c r="N9" s="12">
        <f t="shared" si="1"/>
        <v>1.94</v>
      </c>
      <c r="O9" s="13">
        <v>0.73899999999999999</v>
      </c>
      <c r="P9" s="12">
        <f t="shared" si="2"/>
        <v>7.39</v>
      </c>
      <c r="Q9" s="7"/>
    </row>
    <row r="10" spans="1:17" ht="15.75" thickBot="1" x14ac:dyDescent="0.3">
      <c r="A10" s="37">
        <v>8</v>
      </c>
      <c r="B10" s="126"/>
      <c r="C10" s="43" t="s">
        <v>255</v>
      </c>
      <c r="D10" s="64" t="s">
        <v>256</v>
      </c>
      <c r="E10" s="44" t="s">
        <v>257</v>
      </c>
      <c r="F10" s="44" t="s">
        <v>258</v>
      </c>
      <c r="G10" s="127"/>
      <c r="H10" s="99"/>
      <c r="I10" s="95" t="s">
        <v>273</v>
      </c>
      <c r="J10" s="98">
        <v>2</v>
      </c>
      <c r="K10" s="17">
        <f t="shared" si="0"/>
        <v>10</v>
      </c>
      <c r="L10" s="100"/>
      <c r="M10" s="101"/>
      <c r="N10" s="102"/>
      <c r="O10" s="101"/>
      <c r="P10" s="102"/>
      <c r="Q10" s="103"/>
    </row>
    <row r="11" spans="1:17" ht="15.75" thickBot="1" x14ac:dyDescent="0.3">
      <c r="A11" s="37">
        <v>9</v>
      </c>
      <c r="B11" s="119" t="s">
        <v>33</v>
      </c>
      <c r="C11" s="33" t="s">
        <v>34</v>
      </c>
      <c r="D11" s="62" t="s">
        <v>35</v>
      </c>
      <c r="E11" s="15" t="s">
        <v>36</v>
      </c>
      <c r="F11" s="15" t="s">
        <v>37</v>
      </c>
      <c r="G11" s="16" t="s">
        <v>148</v>
      </c>
      <c r="H11" s="56" t="s">
        <v>165</v>
      </c>
      <c r="I11" s="15" t="s">
        <v>162</v>
      </c>
      <c r="J11" s="18">
        <v>2</v>
      </c>
      <c r="K11" s="17">
        <f t="shared" si="0"/>
        <v>10</v>
      </c>
      <c r="L11" s="16" t="s">
        <v>145</v>
      </c>
      <c r="M11" s="19">
        <v>0.67</v>
      </c>
      <c r="N11" s="20">
        <f t="shared" si="1"/>
        <v>1.34</v>
      </c>
      <c r="O11" s="19">
        <v>0.59199999999999997</v>
      </c>
      <c r="P11" s="20">
        <f t="shared" si="2"/>
        <v>5.92</v>
      </c>
      <c r="Q11" s="21"/>
    </row>
    <row r="12" spans="1:17" ht="15.75" thickBot="1" x14ac:dyDescent="0.3">
      <c r="A12" s="37">
        <v>10</v>
      </c>
      <c r="B12" s="120"/>
      <c r="C12" s="34" t="s">
        <v>174</v>
      </c>
      <c r="D12" s="63" t="s">
        <v>38</v>
      </c>
      <c r="E12" s="4" t="s">
        <v>39</v>
      </c>
      <c r="F12" s="4" t="s">
        <v>40</v>
      </c>
      <c r="G12" s="2" t="s">
        <v>41</v>
      </c>
      <c r="H12" s="57" t="s">
        <v>165</v>
      </c>
      <c r="I12" s="4" t="s">
        <v>162</v>
      </c>
      <c r="J12" s="6">
        <v>1</v>
      </c>
      <c r="K12" s="17">
        <f t="shared" si="0"/>
        <v>5</v>
      </c>
      <c r="L12" s="1" t="s">
        <v>145</v>
      </c>
      <c r="M12" s="13">
        <v>0.27</v>
      </c>
      <c r="N12" s="12">
        <f t="shared" si="1"/>
        <v>0.27</v>
      </c>
      <c r="O12" s="13">
        <v>0.26</v>
      </c>
      <c r="P12" s="12">
        <f t="shared" si="2"/>
        <v>1.3</v>
      </c>
      <c r="Q12" s="7"/>
    </row>
    <row r="13" spans="1:17" ht="15.75" thickBot="1" x14ac:dyDescent="0.3">
      <c r="A13" s="37">
        <v>11</v>
      </c>
      <c r="B13" s="120"/>
      <c r="C13" s="34" t="s">
        <v>42</v>
      </c>
      <c r="D13" s="63" t="s">
        <v>43</v>
      </c>
      <c r="E13" s="4" t="s">
        <v>44</v>
      </c>
      <c r="F13" s="4" t="s">
        <v>45</v>
      </c>
      <c r="G13" s="3" t="s">
        <v>149</v>
      </c>
      <c r="H13" s="57" t="s">
        <v>165</v>
      </c>
      <c r="I13" s="4" t="s">
        <v>162</v>
      </c>
      <c r="J13" s="6">
        <v>2</v>
      </c>
      <c r="K13" s="17">
        <f t="shared" si="0"/>
        <v>10</v>
      </c>
      <c r="L13" s="1" t="s">
        <v>145</v>
      </c>
      <c r="M13" s="13">
        <v>0.37</v>
      </c>
      <c r="N13" s="12">
        <f t="shared" si="1"/>
        <v>0.74</v>
      </c>
      <c r="O13" s="13">
        <v>0.29299999999999998</v>
      </c>
      <c r="P13" s="12">
        <f t="shared" si="2"/>
        <v>2.9299999999999997</v>
      </c>
      <c r="Q13" s="7"/>
    </row>
    <row r="14" spans="1:17" ht="15.75" thickBot="1" x14ac:dyDescent="0.3">
      <c r="A14" s="37">
        <v>12</v>
      </c>
      <c r="B14" s="121"/>
      <c r="C14" s="35" t="s">
        <v>175</v>
      </c>
      <c r="D14" s="65" t="s">
        <v>176</v>
      </c>
      <c r="E14" s="8" t="s">
        <v>177</v>
      </c>
      <c r="F14" s="8" t="s">
        <v>178</v>
      </c>
      <c r="G14" s="24" t="s">
        <v>180</v>
      </c>
      <c r="H14" s="58" t="s">
        <v>165</v>
      </c>
      <c r="I14" s="8" t="s">
        <v>162</v>
      </c>
      <c r="J14" s="9">
        <v>1</v>
      </c>
      <c r="K14" s="17">
        <f t="shared" si="0"/>
        <v>5</v>
      </c>
      <c r="L14" s="22" t="s">
        <v>179</v>
      </c>
      <c r="M14" s="14">
        <v>0.44400000000000001</v>
      </c>
      <c r="N14" s="23">
        <f t="shared" si="1"/>
        <v>0.44400000000000001</v>
      </c>
      <c r="O14" s="14">
        <v>0.44400000000000001</v>
      </c>
      <c r="P14" s="23">
        <f t="shared" si="2"/>
        <v>2.2200000000000002</v>
      </c>
      <c r="Q14" s="11"/>
    </row>
    <row r="15" spans="1:17" ht="15.75" thickBot="1" x14ac:dyDescent="0.3">
      <c r="A15" s="37">
        <v>13</v>
      </c>
      <c r="B15" s="122" t="s">
        <v>250</v>
      </c>
      <c r="C15" s="104" t="s">
        <v>238</v>
      </c>
      <c r="D15" s="62" t="s">
        <v>239</v>
      </c>
      <c r="E15" s="15" t="s">
        <v>246</v>
      </c>
      <c r="F15" s="15" t="s">
        <v>240</v>
      </c>
      <c r="G15" s="25" t="s">
        <v>248</v>
      </c>
      <c r="H15" s="56" t="s">
        <v>165</v>
      </c>
      <c r="I15" s="15" t="s">
        <v>162</v>
      </c>
      <c r="J15" s="18">
        <v>1</v>
      </c>
      <c r="K15" s="17">
        <f t="shared" si="0"/>
        <v>5</v>
      </c>
      <c r="L15" s="107" t="s">
        <v>226</v>
      </c>
      <c r="M15" s="19">
        <v>0.31</v>
      </c>
      <c r="N15" s="20">
        <f t="shared" si="1"/>
        <v>0.31</v>
      </c>
      <c r="O15" s="19">
        <v>0.31</v>
      </c>
      <c r="P15" s="20">
        <f t="shared" si="2"/>
        <v>1.55</v>
      </c>
      <c r="Q15" s="21"/>
    </row>
    <row r="16" spans="1:17" ht="15.75" thickBot="1" x14ac:dyDescent="0.3">
      <c r="A16" s="37">
        <v>14</v>
      </c>
      <c r="B16" s="123"/>
      <c r="C16" s="105" t="s">
        <v>241</v>
      </c>
      <c r="D16" s="63" t="s">
        <v>242</v>
      </c>
      <c r="E16" s="4" t="s">
        <v>246</v>
      </c>
      <c r="F16" s="4" t="s">
        <v>243</v>
      </c>
      <c r="G16" s="3" t="s">
        <v>249</v>
      </c>
      <c r="H16" s="57" t="s">
        <v>165</v>
      </c>
      <c r="I16" s="4" t="s">
        <v>162</v>
      </c>
      <c r="J16" s="6">
        <v>1</v>
      </c>
      <c r="K16" s="5">
        <f t="shared" si="0"/>
        <v>5</v>
      </c>
      <c r="L16" s="1" t="s">
        <v>254</v>
      </c>
      <c r="M16" s="13">
        <v>0.25600000000000001</v>
      </c>
      <c r="N16" s="12">
        <f t="shared" si="1"/>
        <v>0.25600000000000001</v>
      </c>
      <c r="O16" s="13">
        <v>0.25600000000000001</v>
      </c>
      <c r="P16" s="12">
        <f t="shared" si="2"/>
        <v>1.28</v>
      </c>
      <c r="Q16" s="7"/>
    </row>
    <row r="17" spans="1:17" ht="15.75" thickBot="1" x14ac:dyDescent="0.3">
      <c r="A17" s="37">
        <v>15</v>
      </c>
      <c r="B17" s="124"/>
      <c r="C17" s="106" t="s">
        <v>244</v>
      </c>
      <c r="D17" s="129" t="s">
        <v>245</v>
      </c>
      <c r="E17" s="8" t="s">
        <v>246</v>
      </c>
      <c r="F17" s="8" t="s">
        <v>247</v>
      </c>
      <c r="G17" s="24" t="s">
        <v>248</v>
      </c>
      <c r="H17" s="58" t="s">
        <v>165</v>
      </c>
      <c r="I17" s="8" t="s">
        <v>162</v>
      </c>
      <c r="J17" s="9">
        <v>1</v>
      </c>
      <c r="K17" s="10">
        <f t="shared" si="0"/>
        <v>5</v>
      </c>
      <c r="L17" s="22" t="s">
        <v>226</v>
      </c>
      <c r="M17" s="14">
        <v>0.28000000000000003</v>
      </c>
      <c r="N17" s="23">
        <f t="shared" si="1"/>
        <v>0.28000000000000003</v>
      </c>
      <c r="O17" s="14">
        <v>0.28000000000000003</v>
      </c>
      <c r="P17" s="23">
        <f t="shared" si="2"/>
        <v>1.4000000000000001</v>
      </c>
      <c r="Q17" s="11"/>
    </row>
    <row r="18" spans="1:17" ht="15.75" thickBot="1" x14ac:dyDescent="0.3">
      <c r="A18" s="37">
        <v>16</v>
      </c>
      <c r="B18" s="118" t="s">
        <v>46</v>
      </c>
      <c r="C18" s="94" t="s">
        <v>47</v>
      </c>
      <c r="D18" s="63" t="s">
        <v>259</v>
      </c>
      <c r="E18" s="95" t="s">
        <v>166</v>
      </c>
      <c r="F18" s="95" t="s">
        <v>48</v>
      </c>
      <c r="G18" s="96" t="s">
        <v>150</v>
      </c>
      <c r="H18" s="97" t="s">
        <v>165</v>
      </c>
      <c r="I18" s="95" t="s">
        <v>132</v>
      </c>
      <c r="J18" s="98">
        <v>2</v>
      </c>
      <c r="K18" s="99">
        <f t="shared" si="0"/>
        <v>10</v>
      </c>
      <c r="L18" s="100" t="s">
        <v>145</v>
      </c>
      <c r="M18" s="101">
        <v>2.41</v>
      </c>
      <c r="N18" s="102">
        <f t="shared" si="1"/>
        <v>4.82</v>
      </c>
      <c r="O18" s="101">
        <v>2.41</v>
      </c>
      <c r="P18" s="102">
        <f t="shared" si="2"/>
        <v>24.1</v>
      </c>
      <c r="Q18" s="103"/>
    </row>
    <row r="19" spans="1:17" ht="15.75" thickBot="1" x14ac:dyDescent="0.3">
      <c r="A19" s="37">
        <v>17</v>
      </c>
      <c r="B19" s="116"/>
      <c r="C19" s="35" t="s">
        <v>49</v>
      </c>
      <c r="D19" s="130" t="s">
        <v>50</v>
      </c>
      <c r="E19" s="8" t="s">
        <v>166</v>
      </c>
      <c r="F19" s="8" t="s">
        <v>51</v>
      </c>
      <c r="G19" s="24" t="s">
        <v>151</v>
      </c>
      <c r="H19" s="58" t="s">
        <v>165</v>
      </c>
      <c r="I19" s="8" t="s">
        <v>133</v>
      </c>
      <c r="J19" s="9">
        <v>1</v>
      </c>
      <c r="K19" s="17">
        <f t="shared" si="0"/>
        <v>5</v>
      </c>
      <c r="L19" s="22" t="s">
        <v>145</v>
      </c>
      <c r="M19" s="14">
        <v>1.05</v>
      </c>
      <c r="N19" s="23">
        <f t="shared" si="1"/>
        <v>1.05</v>
      </c>
      <c r="O19" s="14">
        <v>1.05</v>
      </c>
      <c r="P19" s="23">
        <f t="shared" si="2"/>
        <v>5.25</v>
      </c>
      <c r="Q19" s="11"/>
    </row>
    <row r="20" spans="1:17" ht="15.75" thickBot="1" x14ac:dyDescent="0.3">
      <c r="A20" s="37">
        <v>18</v>
      </c>
      <c r="B20" s="114" t="s">
        <v>52</v>
      </c>
      <c r="C20" s="33" t="s">
        <v>53</v>
      </c>
      <c r="D20" s="62" t="s">
        <v>54</v>
      </c>
      <c r="E20" s="15" t="s">
        <v>173</v>
      </c>
      <c r="F20" s="15" t="s">
        <v>55</v>
      </c>
      <c r="G20" s="26" t="s">
        <v>41</v>
      </c>
      <c r="H20" s="56" t="s">
        <v>165</v>
      </c>
      <c r="I20" s="15" t="s">
        <v>162</v>
      </c>
      <c r="J20" s="18">
        <v>2</v>
      </c>
      <c r="K20" s="17">
        <f t="shared" si="0"/>
        <v>10</v>
      </c>
      <c r="L20" s="16" t="s">
        <v>145</v>
      </c>
      <c r="M20" s="19">
        <v>0.14000000000000001</v>
      </c>
      <c r="N20" s="20">
        <f t="shared" si="1"/>
        <v>0.28000000000000003</v>
      </c>
      <c r="O20" s="19">
        <v>0.125</v>
      </c>
      <c r="P20" s="20">
        <f t="shared" si="2"/>
        <v>1.25</v>
      </c>
      <c r="Q20" s="21"/>
    </row>
    <row r="21" spans="1:17" ht="15.75" thickBot="1" x14ac:dyDescent="0.3">
      <c r="A21" s="37">
        <v>19</v>
      </c>
      <c r="B21" s="115"/>
      <c r="C21" s="34" t="s">
        <v>181</v>
      </c>
      <c r="D21" s="63" t="s">
        <v>57</v>
      </c>
      <c r="E21" s="4" t="s">
        <v>182</v>
      </c>
      <c r="F21" s="4" t="s">
        <v>183</v>
      </c>
      <c r="G21" s="45" t="s">
        <v>59</v>
      </c>
      <c r="H21" s="59" t="s">
        <v>165</v>
      </c>
      <c r="I21" s="44" t="s">
        <v>162</v>
      </c>
      <c r="J21" s="46">
        <v>1</v>
      </c>
      <c r="K21" s="17">
        <f t="shared" si="0"/>
        <v>5</v>
      </c>
      <c r="L21" s="45" t="s">
        <v>145</v>
      </c>
      <c r="M21" s="47">
        <v>0.5</v>
      </c>
      <c r="N21" s="48">
        <f t="shared" si="1"/>
        <v>0.5</v>
      </c>
      <c r="O21" s="47">
        <v>0.5</v>
      </c>
      <c r="P21" s="48">
        <f t="shared" si="2"/>
        <v>2.5</v>
      </c>
      <c r="Q21" s="49"/>
    </row>
    <row r="22" spans="1:17" ht="15.75" thickBot="1" x14ac:dyDescent="0.3">
      <c r="A22" s="37">
        <v>20</v>
      </c>
      <c r="B22" s="116"/>
      <c r="C22" s="35" t="s">
        <v>56</v>
      </c>
      <c r="D22" s="65" t="s">
        <v>229</v>
      </c>
      <c r="E22" s="8" t="s">
        <v>173</v>
      </c>
      <c r="F22" s="8" t="s">
        <v>58</v>
      </c>
      <c r="G22" s="22" t="s">
        <v>59</v>
      </c>
      <c r="H22" s="58" t="s">
        <v>165</v>
      </c>
      <c r="I22" s="8" t="s">
        <v>162</v>
      </c>
      <c r="J22" s="9">
        <v>1</v>
      </c>
      <c r="K22" s="17">
        <f t="shared" si="0"/>
        <v>5</v>
      </c>
      <c r="L22" s="22" t="s">
        <v>145</v>
      </c>
      <c r="M22" s="14">
        <v>0.14000000000000001</v>
      </c>
      <c r="N22" s="23">
        <f t="shared" si="1"/>
        <v>0.14000000000000001</v>
      </c>
      <c r="O22" s="14">
        <v>0.14000000000000001</v>
      </c>
      <c r="P22" s="23">
        <f t="shared" si="2"/>
        <v>0.70000000000000007</v>
      </c>
      <c r="Q22" s="11"/>
    </row>
    <row r="23" spans="1:17" ht="26.25" thickBot="1" x14ac:dyDescent="0.3">
      <c r="A23" s="37">
        <v>21</v>
      </c>
      <c r="B23" s="114" t="s">
        <v>214</v>
      </c>
      <c r="C23" s="51" t="s">
        <v>60</v>
      </c>
      <c r="D23" s="64" t="s">
        <v>231</v>
      </c>
      <c r="E23" s="15" t="s">
        <v>61</v>
      </c>
      <c r="F23" s="15" t="s">
        <v>62</v>
      </c>
      <c r="G23" s="25" t="s">
        <v>152</v>
      </c>
      <c r="H23" s="56" t="s">
        <v>165</v>
      </c>
      <c r="I23" s="15" t="s">
        <v>134</v>
      </c>
      <c r="J23" s="18">
        <v>7</v>
      </c>
      <c r="K23" s="17">
        <f t="shared" si="0"/>
        <v>35</v>
      </c>
      <c r="L23" s="16" t="s">
        <v>145</v>
      </c>
      <c r="M23" s="19">
        <v>0.1</v>
      </c>
      <c r="N23" s="20">
        <f t="shared" si="1"/>
        <v>0.70000000000000007</v>
      </c>
      <c r="O23" s="19">
        <v>5.8000000000000003E-2</v>
      </c>
      <c r="P23" s="20">
        <f t="shared" si="2"/>
        <v>2.0300000000000002</v>
      </c>
      <c r="Q23" s="21"/>
    </row>
    <row r="24" spans="1:17" ht="15.75" thickBot="1" x14ac:dyDescent="0.3">
      <c r="A24" s="37">
        <v>22</v>
      </c>
      <c r="B24" s="115"/>
      <c r="C24" s="34" t="s">
        <v>63</v>
      </c>
      <c r="D24" s="64" t="s">
        <v>185</v>
      </c>
      <c r="E24" s="4" t="s">
        <v>61</v>
      </c>
      <c r="F24" s="4" t="s">
        <v>65</v>
      </c>
      <c r="G24" s="1" t="s">
        <v>66</v>
      </c>
      <c r="H24" s="57" t="s">
        <v>165</v>
      </c>
      <c r="I24" s="4" t="s">
        <v>135</v>
      </c>
      <c r="J24" s="6">
        <v>1</v>
      </c>
      <c r="K24" s="17">
        <f t="shared" si="0"/>
        <v>5</v>
      </c>
      <c r="L24" s="1" t="s">
        <v>145</v>
      </c>
      <c r="M24" s="13">
        <v>0.1</v>
      </c>
      <c r="N24" s="12">
        <f t="shared" si="1"/>
        <v>0.1</v>
      </c>
      <c r="O24" s="13">
        <v>0.1</v>
      </c>
      <c r="P24" s="12">
        <f t="shared" si="2"/>
        <v>0.5</v>
      </c>
      <c r="Q24" s="7"/>
    </row>
    <row r="25" spans="1:17" ht="15.75" thickBot="1" x14ac:dyDescent="0.3">
      <c r="A25" s="37">
        <v>23</v>
      </c>
      <c r="B25" s="115"/>
      <c r="C25" s="34" t="s">
        <v>184</v>
      </c>
      <c r="D25" s="64" t="s">
        <v>235</v>
      </c>
      <c r="E25" s="4" t="s">
        <v>61</v>
      </c>
      <c r="F25" s="4" t="s">
        <v>186</v>
      </c>
      <c r="G25" s="1" t="s">
        <v>66</v>
      </c>
      <c r="H25" s="57" t="s">
        <v>165</v>
      </c>
      <c r="I25" s="44" t="s">
        <v>187</v>
      </c>
      <c r="J25" s="46">
        <v>1</v>
      </c>
      <c r="K25" s="17">
        <f t="shared" si="0"/>
        <v>5</v>
      </c>
      <c r="L25" s="45" t="s">
        <v>145</v>
      </c>
      <c r="M25" s="47">
        <v>0.1</v>
      </c>
      <c r="N25" s="48">
        <f t="shared" si="1"/>
        <v>0.1</v>
      </c>
      <c r="O25" s="47">
        <v>0.1</v>
      </c>
      <c r="P25" s="48">
        <f t="shared" si="2"/>
        <v>0.5</v>
      </c>
      <c r="Q25" s="52"/>
    </row>
    <row r="26" spans="1:17" ht="15.75" thickBot="1" x14ac:dyDescent="0.3">
      <c r="A26" s="37">
        <v>24</v>
      </c>
      <c r="B26" s="115"/>
      <c r="C26" s="34" t="s">
        <v>261</v>
      </c>
      <c r="D26" s="64" t="s">
        <v>236</v>
      </c>
      <c r="E26" s="4" t="s">
        <v>61</v>
      </c>
      <c r="F26" s="4" t="s">
        <v>262</v>
      </c>
      <c r="G26" s="1" t="s">
        <v>66</v>
      </c>
      <c r="H26" s="57" t="s">
        <v>165</v>
      </c>
      <c r="I26" s="44" t="s">
        <v>260</v>
      </c>
      <c r="J26" s="46">
        <v>1</v>
      </c>
      <c r="K26" s="17">
        <f t="shared" si="0"/>
        <v>5</v>
      </c>
      <c r="L26" s="108" t="s">
        <v>226</v>
      </c>
      <c r="M26" s="47">
        <v>0.61</v>
      </c>
      <c r="N26" s="48">
        <f t="shared" si="1"/>
        <v>0.61</v>
      </c>
      <c r="O26" s="47">
        <v>0.61</v>
      </c>
      <c r="P26" s="48">
        <f t="shared" si="2"/>
        <v>3.05</v>
      </c>
      <c r="Q26" s="52"/>
    </row>
    <row r="27" spans="1:17" ht="26.25" thickBot="1" x14ac:dyDescent="0.3">
      <c r="A27" s="37">
        <v>25</v>
      </c>
      <c r="B27" s="115"/>
      <c r="C27" s="53" t="s">
        <v>190</v>
      </c>
      <c r="D27" s="64" t="s">
        <v>233</v>
      </c>
      <c r="E27" s="4" t="s">
        <v>61</v>
      </c>
      <c r="F27" s="4" t="s">
        <v>191</v>
      </c>
      <c r="G27" s="3" t="s">
        <v>152</v>
      </c>
      <c r="H27" s="57" t="s">
        <v>165</v>
      </c>
      <c r="I27" s="4" t="s">
        <v>192</v>
      </c>
      <c r="J27" s="6">
        <v>3</v>
      </c>
      <c r="K27" s="17">
        <f t="shared" si="0"/>
        <v>15</v>
      </c>
      <c r="L27" s="1" t="s">
        <v>145</v>
      </c>
      <c r="M27" s="13">
        <v>0.1</v>
      </c>
      <c r="N27" s="12">
        <f t="shared" si="1"/>
        <v>0.30000000000000004</v>
      </c>
      <c r="O27" s="13">
        <v>4.9000000000000002E-2</v>
      </c>
      <c r="P27" s="12">
        <f t="shared" si="2"/>
        <v>0.73499999999999999</v>
      </c>
      <c r="Q27" s="7"/>
    </row>
    <row r="28" spans="1:17" ht="15.75" thickBot="1" x14ac:dyDescent="0.3">
      <c r="A28" s="37">
        <v>26</v>
      </c>
      <c r="B28" s="115"/>
      <c r="C28" s="34" t="s">
        <v>67</v>
      </c>
      <c r="D28" s="64" t="s">
        <v>232</v>
      </c>
      <c r="E28" s="4" t="s">
        <v>61</v>
      </c>
      <c r="F28" s="4" t="s">
        <v>68</v>
      </c>
      <c r="G28" s="3" t="s">
        <v>154</v>
      </c>
      <c r="H28" s="57" t="s">
        <v>165</v>
      </c>
      <c r="I28" s="4" t="s">
        <v>136</v>
      </c>
      <c r="J28" s="6">
        <v>1</v>
      </c>
      <c r="K28" s="17">
        <f t="shared" si="0"/>
        <v>5</v>
      </c>
      <c r="L28" s="1" t="s">
        <v>145</v>
      </c>
      <c r="M28" s="13">
        <v>0.13</v>
      </c>
      <c r="N28" s="12">
        <f t="shared" si="1"/>
        <v>0.13</v>
      </c>
      <c r="O28" s="13">
        <v>0.13</v>
      </c>
      <c r="P28" s="12">
        <f t="shared" si="2"/>
        <v>0.65</v>
      </c>
      <c r="Q28" s="7"/>
    </row>
    <row r="29" spans="1:17" ht="26.25" thickBot="1" x14ac:dyDescent="0.3">
      <c r="A29" s="37">
        <v>27</v>
      </c>
      <c r="B29" s="115"/>
      <c r="C29" s="53" t="s">
        <v>69</v>
      </c>
      <c r="D29" s="64" t="s">
        <v>234</v>
      </c>
      <c r="E29" s="4" t="s">
        <v>61</v>
      </c>
      <c r="F29" s="4" t="s">
        <v>70</v>
      </c>
      <c r="G29" s="3" t="s">
        <v>156</v>
      </c>
      <c r="H29" s="57" t="s">
        <v>165</v>
      </c>
      <c r="I29" s="4" t="s">
        <v>137</v>
      </c>
      <c r="J29" s="6">
        <v>1</v>
      </c>
      <c r="K29" s="17">
        <f t="shared" si="0"/>
        <v>5</v>
      </c>
      <c r="L29" s="1" t="s">
        <v>145</v>
      </c>
      <c r="M29" s="13">
        <v>0.1</v>
      </c>
      <c r="N29" s="12">
        <f t="shared" si="1"/>
        <v>0.1</v>
      </c>
      <c r="O29" s="13">
        <v>0.1</v>
      </c>
      <c r="P29" s="12">
        <f t="shared" si="2"/>
        <v>0.5</v>
      </c>
      <c r="Q29" s="7"/>
    </row>
    <row r="30" spans="1:17" ht="15.75" thickBot="1" x14ac:dyDescent="0.3">
      <c r="A30" s="37">
        <v>28</v>
      </c>
      <c r="B30" s="115"/>
      <c r="C30" s="34" t="s">
        <v>71</v>
      </c>
      <c r="D30" s="64" t="s">
        <v>230</v>
      </c>
      <c r="E30" s="4" t="s">
        <v>61</v>
      </c>
      <c r="F30" s="4" t="s">
        <v>72</v>
      </c>
      <c r="G30" s="3" t="s">
        <v>157</v>
      </c>
      <c r="H30" s="57" t="s">
        <v>165</v>
      </c>
      <c r="I30" s="4" t="s">
        <v>138</v>
      </c>
      <c r="J30" s="6">
        <v>4</v>
      </c>
      <c r="K30" s="17">
        <f t="shared" si="0"/>
        <v>20</v>
      </c>
      <c r="L30" s="1" t="s">
        <v>145</v>
      </c>
      <c r="M30" s="13">
        <v>0.24</v>
      </c>
      <c r="N30" s="12">
        <f t="shared" si="1"/>
        <v>0.96</v>
      </c>
      <c r="O30" s="13">
        <v>0.20499999999999999</v>
      </c>
      <c r="P30" s="12">
        <f t="shared" si="2"/>
        <v>4.0999999999999996</v>
      </c>
      <c r="Q30" s="7"/>
    </row>
    <row r="31" spans="1:17" ht="15.75" thickBot="1" x14ac:dyDescent="0.3">
      <c r="A31" s="37">
        <v>29</v>
      </c>
      <c r="B31" s="115"/>
      <c r="C31" s="34" t="s">
        <v>73</v>
      </c>
      <c r="D31" s="64" t="s">
        <v>64</v>
      </c>
      <c r="E31" s="4" t="s">
        <v>61</v>
      </c>
      <c r="F31" s="4" t="s">
        <v>74</v>
      </c>
      <c r="G31" s="3" t="s">
        <v>157</v>
      </c>
      <c r="H31" s="57" t="s">
        <v>165</v>
      </c>
      <c r="I31" s="4" t="s">
        <v>139</v>
      </c>
      <c r="J31" s="6">
        <v>1</v>
      </c>
      <c r="K31" s="17">
        <f t="shared" si="0"/>
        <v>5</v>
      </c>
      <c r="L31" s="1" t="s">
        <v>145</v>
      </c>
      <c r="M31" s="13">
        <v>0.1</v>
      </c>
      <c r="N31" s="12">
        <f t="shared" si="1"/>
        <v>0.1</v>
      </c>
      <c r="O31" s="13">
        <v>0.1</v>
      </c>
      <c r="P31" s="12">
        <f t="shared" si="2"/>
        <v>0.5</v>
      </c>
      <c r="Q31" s="7"/>
    </row>
    <row r="32" spans="1:17" ht="15.75" thickBot="1" x14ac:dyDescent="0.3">
      <c r="A32" s="37">
        <v>30</v>
      </c>
      <c r="B32" s="115"/>
      <c r="C32" s="34" t="s">
        <v>170</v>
      </c>
      <c r="D32" s="64" t="s">
        <v>75</v>
      </c>
      <c r="E32" s="4" t="s">
        <v>188</v>
      </c>
      <c r="F32" s="4" t="s">
        <v>171</v>
      </c>
      <c r="G32" s="54" t="s">
        <v>189</v>
      </c>
      <c r="H32" s="57" t="s">
        <v>165</v>
      </c>
      <c r="I32" s="4" t="s">
        <v>140</v>
      </c>
      <c r="J32" s="46">
        <v>1</v>
      </c>
      <c r="K32" s="17">
        <f t="shared" si="0"/>
        <v>5</v>
      </c>
      <c r="L32" s="1" t="s">
        <v>145</v>
      </c>
      <c r="M32" s="47">
        <v>0.92</v>
      </c>
      <c r="N32" s="48">
        <f t="shared" si="1"/>
        <v>0.92</v>
      </c>
      <c r="O32" s="47">
        <v>0.92</v>
      </c>
      <c r="P32" s="48">
        <f t="shared" si="2"/>
        <v>4.6000000000000005</v>
      </c>
      <c r="Q32" s="52"/>
    </row>
    <row r="33" spans="1:17" ht="15.75" thickBot="1" x14ac:dyDescent="0.3">
      <c r="A33" s="37">
        <v>31</v>
      </c>
      <c r="B33" s="115"/>
      <c r="C33" s="34" t="s">
        <v>76</v>
      </c>
      <c r="D33" s="64" t="s">
        <v>77</v>
      </c>
      <c r="E33" s="4" t="s">
        <v>61</v>
      </c>
      <c r="F33" s="4" t="s">
        <v>78</v>
      </c>
      <c r="G33" s="3" t="s">
        <v>157</v>
      </c>
      <c r="H33" s="57" t="s">
        <v>165</v>
      </c>
      <c r="I33" s="4" t="s">
        <v>141</v>
      </c>
      <c r="J33" s="6">
        <v>1</v>
      </c>
      <c r="K33" s="17">
        <f t="shared" si="0"/>
        <v>5</v>
      </c>
      <c r="L33" s="1" t="s">
        <v>145</v>
      </c>
      <c r="M33" s="13">
        <v>0.1</v>
      </c>
      <c r="N33" s="12">
        <f t="shared" si="1"/>
        <v>0.1</v>
      </c>
      <c r="O33" s="13">
        <v>0.1</v>
      </c>
      <c r="P33" s="12">
        <f t="shared" si="2"/>
        <v>0.5</v>
      </c>
      <c r="Q33" s="7"/>
    </row>
    <row r="34" spans="1:17" ht="15.75" thickBot="1" x14ac:dyDescent="0.3">
      <c r="A34" s="37">
        <v>32</v>
      </c>
      <c r="B34" s="115"/>
      <c r="C34" s="34" t="s">
        <v>79</v>
      </c>
      <c r="D34" s="64" t="s">
        <v>80</v>
      </c>
      <c r="E34" s="4" t="s">
        <v>61</v>
      </c>
      <c r="F34" s="4" t="s">
        <v>81</v>
      </c>
      <c r="G34" s="3" t="s">
        <v>155</v>
      </c>
      <c r="H34" s="57" t="s">
        <v>165</v>
      </c>
      <c r="I34" s="4" t="s">
        <v>142</v>
      </c>
      <c r="J34" s="6">
        <v>1</v>
      </c>
      <c r="K34" s="17">
        <f t="shared" si="0"/>
        <v>5</v>
      </c>
      <c r="L34" s="1" t="s">
        <v>145</v>
      </c>
      <c r="M34" s="13">
        <v>0.1</v>
      </c>
      <c r="N34" s="12">
        <f t="shared" si="1"/>
        <v>0.1</v>
      </c>
      <c r="O34" s="13">
        <v>0.1</v>
      </c>
      <c r="P34" s="12">
        <f t="shared" si="2"/>
        <v>0.5</v>
      </c>
      <c r="Q34" s="7"/>
    </row>
    <row r="35" spans="1:17" ht="15.75" thickBot="1" x14ac:dyDescent="0.3">
      <c r="A35" s="37">
        <v>33</v>
      </c>
      <c r="B35" s="115"/>
      <c r="C35" s="34" t="s">
        <v>82</v>
      </c>
      <c r="D35" s="64" t="s">
        <v>83</v>
      </c>
      <c r="E35" s="4" t="s">
        <v>61</v>
      </c>
      <c r="F35" s="4" t="s">
        <v>84</v>
      </c>
      <c r="G35" s="1" t="s">
        <v>153</v>
      </c>
      <c r="H35" s="57" t="s">
        <v>165</v>
      </c>
      <c r="I35" s="4" t="s">
        <v>143</v>
      </c>
      <c r="J35" s="6">
        <v>4</v>
      </c>
      <c r="K35" s="17">
        <f t="shared" si="0"/>
        <v>20</v>
      </c>
      <c r="L35" s="1" t="s">
        <v>145</v>
      </c>
      <c r="M35" s="13">
        <v>0.1</v>
      </c>
      <c r="N35" s="12">
        <f t="shared" si="1"/>
        <v>0.4</v>
      </c>
      <c r="O35" s="13">
        <v>1.7000000000000001E-2</v>
      </c>
      <c r="P35" s="12">
        <f t="shared" si="2"/>
        <v>0.34</v>
      </c>
      <c r="Q35" s="7"/>
    </row>
    <row r="36" spans="1:17" ht="15.75" thickBot="1" x14ac:dyDescent="0.3">
      <c r="A36" s="37">
        <v>34</v>
      </c>
      <c r="B36" s="61" t="s">
        <v>85</v>
      </c>
      <c r="C36" s="36" t="s">
        <v>193</v>
      </c>
      <c r="D36" s="66" t="s">
        <v>86</v>
      </c>
      <c r="E36" s="27" t="s">
        <v>166</v>
      </c>
      <c r="F36" s="27" t="s">
        <v>194</v>
      </c>
      <c r="G36" s="55" t="s">
        <v>195</v>
      </c>
      <c r="H36" s="60" t="s">
        <v>165</v>
      </c>
      <c r="I36" s="27" t="s">
        <v>162</v>
      </c>
      <c r="J36" s="28">
        <v>1</v>
      </c>
      <c r="K36" s="17">
        <f t="shared" si="0"/>
        <v>5</v>
      </c>
      <c r="L36" s="29" t="s">
        <v>145</v>
      </c>
      <c r="M36" s="30">
        <v>0.93</v>
      </c>
      <c r="N36" s="31">
        <f t="shared" si="1"/>
        <v>0.93</v>
      </c>
      <c r="O36" s="30">
        <v>0.93</v>
      </c>
      <c r="P36" s="31">
        <f t="shared" si="2"/>
        <v>4.6500000000000004</v>
      </c>
      <c r="Q36" s="32"/>
    </row>
    <row r="37" spans="1:17" ht="15.75" thickBot="1" x14ac:dyDescent="0.3">
      <c r="A37" s="37">
        <v>35</v>
      </c>
      <c r="B37" s="114" t="s">
        <v>87</v>
      </c>
      <c r="C37" s="84" t="s">
        <v>88</v>
      </c>
      <c r="D37" s="62" t="s">
        <v>89</v>
      </c>
      <c r="E37" s="62" t="s">
        <v>166</v>
      </c>
      <c r="F37" s="62" t="s">
        <v>90</v>
      </c>
      <c r="G37" s="1" t="s">
        <v>91</v>
      </c>
      <c r="H37" s="62" t="s">
        <v>165</v>
      </c>
      <c r="I37" s="62" t="s">
        <v>162</v>
      </c>
      <c r="J37" s="85">
        <v>1</v>
      </c>
      <c r="K37" s="17">
        <f t="shared" si="0"/>
        <v>5</v>
      </c>
      <c r="L37" s="45" t="s">
        <v>145</v>
      </c>
      <c r="M37" s="86">
        <v>4.3499999999999996</v>
      </c>
      <c r="N37" s="87">
        <f t="shared" si="1"/>
        <v>4.3499999999999996</v>
      </c>
      <c r="O37" s="86">
        <v>4.3499999999999996</v>
      </c>
      <c r="P37" s="87">
        <f t="shared" si="2"/>
        <v>21.75</v>
      </c>
      <c r="Q37" s="88"/>
    </row>
    <row r="38" spans="1:17" ht="15.75" thickBot="1" x14ac:dyDescent="0.3">
      <c r="A38" s="37">
        <v>36</v>
      </c>
      <c r="B38" s="115"/>
      <c r="C38" s="43" t="s">
        <v>92</v>
      </c>
      <c r="D38" s="64" t="s">
        <v>97</v>
      </c>
      <c r="E38" s="44" t="s">
        <v>94</v>
      </c>
      <c r="F38" s="44" t="s">
        <v>95</v>
      </c>
      <c r="G38" s="50" t="s">
        <v>100</v>
      </c>
      <c r="H38" s="57" t="s">
        <v>165</v>
      </c>
      <c r="I38" s="44" t="s">
        <v>162</v>
      </c>
      <c r="J38" s="46">
        <v>1</v>
      </c>
      <c r="K38" s="17">
        <f t="shared" si="0"/>
        <v>5</v>
      </c>
      <c r="L38" s="45" t="s">
        <v>172</v>
      </c>
      <c r="M38" s="47">
        <v>3.71</v>
      </c>
      <c r="N38" s="48">
        <f t="shared" si="1"/>
        <v>3.71</v>
      </c>
      <c r="O38" s="47">
        <v>3.71</v>
      </c>
      <c r="P38" s="48">
        <f t="shared" si="2"/>
        <v>18.55</v>
      </c>
      <c r="Q38" s="49"/>
    </row>
    <row r="39" spans="1:17" ht="15.75" thickBot="1" x14ac:dyDescent="0.3">
      <c r="A39" s="37">
        <v>37</v>
      </c>
      <c r="B39" s="115"/>
      <c r="C39" s="34" t="s">
        <v>96</v>
      </c>
      <c r="D39" s="63" t="s">
        <v>93</v>
      </c>
      <c r="E39" s="4" t="s">
        <v>196</v>
      </c>
      <c r="F39" s="4" t="s">
        <v>98</v>
      </c>
      <c r="G39" s="3" t="s">
        <v>108</v>
      </c>
      <c r="H39" s="57" t="s">
        <v>165</v>
      </c>
      <c r="I39" s="4" t="s">
        <v>162</v>
      </c>
      <c r="J39" s="6">
        <v>1</v>
      </c>
      <c r="K39" s="17">
        <f t="shared" si="0"/>
        <v>5</v>
      </c>
      <c r="L39" s="1" t="s">
        <v>145</v>
      </c>
      <c r="M39" s="13">
        <v>0.99</v>
      </c>
      <c r="N39" s="12">
        <f t="shared" si="1"/>
        <v>0.99</v>
      </c>
      <c r="O39" s="13">
        <v>0.99</v>
      </c>
      <c r="P39" s="12">
        <f t="shared" si="2"/>
        <v>4.95</v>
      </c>
      <c r="Q39" s="7"/>
    </row>
    <row r="40" spans="1:17" ht="15.75" thickBot="1" x14ac:dyDescent="0.3">
      <c r="A40" s="37">
        <v>38</v>
      </c>
      <c r="B40" s="115"/>
      <c r="C40" s="34" t="s">
        <v>197</v>
      </c>
      <c r="D40" s="63" t="s">
        <v>99</v>
      </c>
      <c r="E40" s="4" t="s">
        <v>198</v>
      </c>
      <c r="F40" s="4" t="s">
        <v>199</v>
      </c>
      <c r="G40" s="1" t="s">
        <v>200</v>
      </c>
      <c r="H40" s="57" t="s">
        <v>165</v>
      </c>
      <c r="I40" s="4"/>
      <c r="J40" s="6">
        <v>1</v>
      </c>
      <c r="K40" s="17">
        <f t="shared" si="0"/>
        <v>5</v>
      </c>
      <c r="L40" s="1" t="s">
        <v>145</v>
      </c>
      <c r="M40" s="13">
        <v>3.9</v>
      </c>
      <c r="N40" s="12">
        <f t="shared" si="1"/>
        <v>3.9</v>
      </c>
      <c r="O40" s="13">
        <v>3.9</v>
      </c>
      <c r="P40" s="12">
        <f t="shared" si="2"/>
        <v>19.5</v>
      </c>
      <c r="Q40" s="7"/>
    </row>
    <row r="41" spans="1:17" ht="15.75" thickBot="1" x14ac:dyDescent="0.3">
      <c r="A41" s="37">
        <v>39</v>
      </c>
      <c r="B41" s="115"/>
      <c r="C41" s="43" t="s">
        <v>101</v>
      </c>
      <c r="D41" s="64" t="s">
        <v>102</v>
      </c>
      <c r="E41" s="93" t="s">
        <v>166</v>
      </c>
      <c r="F41" s="44" t="s">
        <v>103</v>
      </c>
      <c r="G41" s="50" t="s">
        <v>104</v>
      </c>
      <c r="H41" s="57" t="s">
        <v>165</v>
      </c>
      <c r="I41" s="44" t="s">
        <v>162</v>
      </c>
      <c r="J41" s="46">
        <v>1</v>
      </c>
      <c r="K41" s="17">
        <f t="shared" si="0"/>
        <v>5</v>
      </c>
      <c r="L41" s="45" t="s">
        <v>160</v>
      </c>
      <c r="M41" s="47">
        <v>0.46600000000000003</v>
      </c>
      <c r="N41" s="48">
        <f t="shared" si="1"/>
        <v>0.46600000000000003</v>
      </c>
      <c r="O41" s="47">
        <v>0.46600000000000003</v>
      </c>
      <c r="P41" s="48">
        <f t="shared" si="2"/>
        <v>2.33</v>
      </c>
      <c r="Q41" s="49"/>
    </row>
    <row r="42" spans="1:17" ht="15.75" thickBot="1" x14ac:dyDescent="0.3">
      <c r="A42" s="37">
        <v>40</v>
      </c>
      <c r="B42" s="115"/>
      <c r="C42" s="34" t="s">
        <v>105</v>
      </c>
      <c r="D42" s="64" t="s">
        <v>237</v>
      </c>
      <c r="E42" s="4" t="s">
        <v>106</v>
      </c>
      <c r="F42" s="4" t="s">
        <v>107</v>
      </c>
      <c r="G42" s="1" t="s">
        <v>100</v>
      </c>
      <c r="H42" s="57" t="s">
        <v>165</v>
      </c>
      <c r="I42" s="4" t="s">
        <v>162</v>
      </c>
      <c r="J42" s="6">
        <v>3</v>
      </c>
      <c r="K42" s="17">
        <f t="shared" si="0"/>
        <v>15</v>
      </c>
      <c r="L42" s="1" t="s">
        <v>145</v>
      </c>
      <c r="M42" s="13">
        <v>0.52</v>
      </c>
      <c r="N42" s="12">
        <f t="shared" si="1"/>
        <v>1.56</v>
      </c>
      <c r="O42" s="13">
        <v>0.42299999999999999</v>
      </c>
      <c r="P42" s="12">
        <f t="shared" si="2"/>
        <v>6.3449999999999998</v>
      </c>
      <c r="Q42" s="7"/>
    </row>
    <row r="43" spans="1:17" ht="15.75" thickBot="1" x14ac:dyDescent="0.3">
      <c r="A43" s="37">
        <v>41</v>
      </c>
      <c r="B43" s="115"/>
      <c r="C43" s="34" t="s">
        <v>201</v>
      </c>
      <c r="D43" s="64" t="s">
        <v>202</v>
      </c>
      <c r="E43" s="4" t="s">
        <v>203</v>
      </c>
      <c r="F43" s="4" t="s">
        <v>204</v>
      </c>
      <c r="G43" s="45" t="s">
        <v>209</v>
      </c>
      <c r="H43" s="57" t="s">
        <v>165</v>
      </c>
      <c r="I43" s="44"/>
      <c r="J43" s="46">
        <v>1</v>
      </c>
      <c r="K43" s="17">
        <f t="shared" si="0"/>
        <v>5</v>
      </c>
      <c r="L43" s="45" t="s">
        <v>145</v>
      </c>
      <c r="M43" s="47">
        <v>0.57999999999999996</v>
      </c>
      <c r="N43" s="48">
        <f t="shared" si="1"/>
        <v>0.57999999999999996</v>
      </c>
      <c r="O43" s="47">
        <v>0.57999999999999996</v>
      </c>
      <c r="P43" s="48">
        <f t="shared" si="2"/>
        <v>2.9</v>
      </c>
      <c r="Q43" s="49"/>
    </row>
    <row r="44" spans="1:17" ht="15.75" thickBot="1" x14ac:dyDescent="0.3">
      <c r="A44" s="37">
        <v>42</v>
      </c>
      <c r="B44" s="115"/>
      <c r="C44" s="34" t="s">
        <v>205</v>
      </c>
      <c r="D44" s="64" t="s">
        <v>206</v>
      </c>
      <c r="E44" s="4" t="s">
        <v>207</v>
      </c>
      <c r="F44" s="4" t="s">
        <v>208</v>
      </c>
      <c r="G44" s="1" t="s">
        <v>210</v>
      </c>
      <c r="H44" s="57" t="s">
        <v>165</v>
      </c>
      <c r="I44" s="4"/>
      <c r="J44" s="6">
        <v>1</v>
      </c>
      <c r="K44" s="17">
        <f t="shared" si="0"/>
        <v>5</v>
      </c>
      <c r="L44" s="1" t="s">
        <v>145</v>
      </c>
      <c r="M44" s="13">
        <v>0.48</v>
      </c>
      <c r="N44" s="12">
        <f t="shared" si="1"/>
        <v>0.48</v>
      </c>
      <c r="O44" s="13">
        <v>0.48</v>
      </c>
      <c r="P44" s="12">
        <f t="shared" si="2"/>
        <v>2.4</v>
      </c>
      <c r="Q44" s="7"/>
    </row>
    <row r="45" spans="1:17" ht="15.75" thickBot="1" x14ac:dyDescent="0.3">
      <c r="A45" s="37">
        <v>43</v>
      </c>
      <c r="B45" s="116"/>
      <c r="C45" s="34" t="s">
        <v>205</v>
      </c>
      <c r="D45" s="65" t="s">
        <v>109</v>
      </c>
      <c r="E45" s="8" t="s">
        <v>215</v>
      </c>
      <c r="F45" s="8" t="s">
        <v>110</v>
      </c>
      <c r="G45" s="24" t="s">
        <v>158</v>
      </c>
      <c r="H45" s="58" t="s">
        <v>165</v>
      </c>
      <c r="I45" s="8" t="s">
        <v>162</v>
      </c>
      <c r="J45" s="9">
        <v>1</v>
      </c>
      <c r="K45" s="17">
        <f t="shared" si="0"/>
        <v>5</v>
      </c>
      <c r="L45" s="22" t="s">
        <v>145</v>
      </c>
      <c r="M45" s="14">
        <v>7.32</v>
      </c>
      <c r="N45" s="23">
        <f t="shared" si="1"/>
        <v>7.32</v>
      </c>
      <c r="O45" s="14">
        <v>7.32</v>
      </c>
      <c r="P45" s="23">
        <f t="shared" si="2"/>
        <v>36.6</v>
      </c>
      <c r="Q45" s="11"/>
    </row>
    <row r="46" spans="1:17" ht="15.75" thickBot="1" x14ac:dyDescent="0.3">
      <c r="A46" s="37">
        <v>44</v>
      </c>
      <c r="B46" s="114" t="s">
        <v>111</v>
      </c>
      <c r="C46" s="33" t="s">
        <v>211</v>
      </c>
      <c r="D46" s="62" t="s">
        <v>253</v>
      </c>
      <c r="E46" s="15" t="s">
        <v>166</v>
      </c>
      <c r="F46" s="15" t="s">
        <v>112</v>
      </c>
      <c r="G46" s="16" t="s">
        <v>113</v>
      </c>
      <c r="H46" s="56" t="s">
        <v>165</v>
      </c>
      <c r="I46" s="15" t="s">
        <v>162</v>
      </c>
      <c r="J46" s="18">
        <v>7</v>
      </c>
      <c r="K46" s="17">
        <f t="shared" si="0"/>
        <v>35</v>
      </c>
      <c r="L46" s="16" t="s">
        <v>145</v>
      </c>
      <c r="M46" s="19">
        <v>0.15</v>
      </c>
      <c r="N46" s="20">
        <f t="shared" si="1"/>
        <v>1.05</v>
      </c>
      <c r="O46" s="19">
        <v>0.14099999999999999</v>
      </c>
      <c r="P46" s="20">
        <f t="shared" si="2"/>
        <v>4.9349999999999996</v>
      </c>
      <c r="Q46" s="21"/>
    </row>
    <row r="47" spans="1:17" ht="15.75" thickBot="1" x14ac:dyDescent="0.3">
      <c r="A47" s="37">
        <v>45</v>
      </c>
      <c r="B47" s="115"/>
      <c r="C47" s="34" t="s">
        <v>114</v>
      </c>
      <c r="D47" s="63" t="s">
        <v>252</v>
      </c>
      <c r="E47" s="4" t="s">
        <v>166</v>
      </c>
      <c r="F47" s="4" t="s">
        <v>115</v>
      </c>
      <c r="G47" s="1" t="s">
        <v>113</v>
      </c>
      <c r="H47" s="57" t="s">
        <v>165</v>
      </c>
      <c r="I47" s="4" t="s">
        <v>162</v>
      </c>
      <c r="J47" s="6">
        <v>2</v>
      </c>
      <c r="K47" s="17">
        <f t="shared" si="0"/>
        <v>10</v>
      </c>
      <c r="L47" s="1" t="s">
        <v>145</v>
      </c>
      <c r="M47" s="13">
        <v>0.21</v>
      </c>
      <c r="N47" s="12">
        <f t="shared" si="1"/>
        <v>0.42</v>
      </c>
      <c r="O47" s="13">
        <v>0.19400000000000001</v>
      </c>
      <c r="P47" s="12">
        <f t="shared" si="2"/>
        <v>1.94</v>
      </c>
      <c r="Q47" s="7"/>
    </row>
    <row r="48" spans="1:17" ht="15.75" thickBot="1" x14ac:dyDescent="0.3">
      <c r="A48" s="37">
        <v>46</v>
      </c>
      <c r="B48" s="115"/>
      <c r="C48" s="34" t="s">
        <v>116</v>
      </c>
      <c r="D48" s="63" t="s">
        <v>212</v>
      </c>
      <c r="E48" s="4" t="s">
        <v>166</v>
      </c>
      <c r="F48" s="4" t="s">
        <v>117</v>
      </c>
      <c r="G48" s="1" t="s">
        <v>113</v>
      </c>
      <c r="H48" s="57" t="s">
        <v>165</v>
      </c>
      <c r="I48" s="4" t="s">
        <v>162</v>
      </c>
      <c r="J48" s="6">
        <v>5</v>
      </c>
      <c r="K48" s="17">
        <f t="shared" si="0"/>
        <v>25</v>
      </c>
      <c r="L48" s="1" t="s">
        <v>169</v>
      </c>
      <c r="M48" s="13">
        <v>0.13300000000000001</v>
      </c>
      <c r="N48" s="12">
        <f t="shared" si="1"/>
        <v>0.66500000000000004</v>
      </c>
      <c r="O48" s="13">
        <v>0.13300000000000001</v>
      </c>
      <c r="P48" s="12">
        <f t="shared" si="2"/>
        <v>3.3250000000000002</v>
      </c>
      <c r="Q48" s="7"/>
    </row>
    <row r="49" spans="1:17" ht="15.75" thickBot="1" x14ac:dyDescent="0.3">
      <c r="A49" s="37">
        <v>47</v>
      </c>
      <c r="B49" s="115"/>
      <c r="C49" s="34" t="s">
        <v>118</v>
      </c>
      <c r="D49" s="63" t="s">
        <v>251</v>
      </c>
      <c r="E49" s="4" t="s">
        <v>166</v>
      </c>
      <c r="F49" s="4" t="s">
        <v>119</v>
      </c>
      <c r="G49" s="1" t="s">
        <v>113</v>
      </c>
      <c r="H49" s="57" t="s">
        <v>165</v>
      </c>
      <c r="I49" s="4" t="s">
        <v>162</v>
      </c>
      <c r="J49" s="6">
        <v>3</v>
      </c>
      <c r="K49" s="17">
        <f t="shared" si="0"/>
        <v>15</v>
      </c>
      <c r="L49" s="1" t="s">
        <v>145</v>
      </c>
      <c r="M49" s="13">
        <v>0.33</v>
      </c>
      <c r="N49" s="12">
        <f t="shared" si="1"/>
        <v>0.99</v>
      </c>
      <c r="O49" s="13">
        <v>0.308</v>
      </c>
      <c r="P49" s="12">
        <f t="shared" si="2"/>
        <v>4.62</v>
      </c>
      <c r="Q49" s="7"/>
    </row>
    <row r="50" spans="1:17" ht="15.75" thickBot="1" x14ac:dyDescent="0.3">
      <c r="A50" s="37">
        <v>48</v>
      </c>
      <c r="B50" s="115"/>
      <c r="C50" s="34" t="s">
        <v>120</v>
      </c>
      <c r="D50" s="63" t="s">
        <v>121</v>
      </c>
      <c r="E50" s="4" t="s">
        <v>166</v>
      </c>
      <c r="F50" s="4" t="s">
        <v>122</v>
      </c>
      <c r="G50" s="2" t="s">
        <v>123</v>
      </c>
      <c r="H50" s="57" t="s">
        <v>165</v>
      </c>
      <c r="I50" s="4" t="s">
        <v>162</v>
      </c>
      <c r="J50" s="6">
        <v>1</v>
      </c>
      <c r="K50" s="17">
        <f t="shared" si="0"/>
        <v>5</v>
      </c>
      <c r="L50" s="1" t="s">
        <v>145</v>
      </c>
      <c r="M50" s="13">
        <v>3</v>
      </c>
      <c r="N50" s="12">
        <f t="shared" si="1"/>
        <v>3</v>
      </c>
      <c r="O50" s="13">
        <v>3</v>
      </c>
      <c r="P50" s="12">
        <f t="shared" si="2"/>
        <v>15</v>
      </c>
      <c r="Q50" s="7"/>
    </row>
    <row r="51" spans="1:17" ht="15.75" thickBot="1" x14ac:dyDescent="0.3">
      <c r="A51" s="37">
        <v>49</v>
      </c>
      <c r="B51" s="117"/>
      <c r="C51" s="83" t="s">
        <v>216</v>
      </c>
      <c r="D51" s="77" t="s">
        <v>217</v>
      </c>
      <c r="E51" s="77" t="s">
        <v>166</v>
      </c>
      <c r="F51" s="78" t="s">
        <v>218</v>
      </c>
      <c r="G51" s="79" t="s">
        <v>167</v>
      </c>
      <c r="H51" s="79" t="s">
        <v>167</v>
      </c>
      <c r="I51" s="79" t="s">
        <v>267</v>
      </c>
      <c r="J51" s="80">
        <v>1</v>
      </c>
      <c r="K51" s="17">
        <f t="shared" si="0"/>
        <v>5</v>
      </c>
      <c r="L51" s="79" t="s">
        <v>167</v>
      </c>
      <c r="M51" s="81" t="s">
        <v>167</v>
      </c>
      <c r="N51" s="81" t="s">
        <v>167</v>
      </c>
      <c r="O51" s="81" t="s">
        <v>167</v>
      </c>
      <c r="P51" s="81" t="s">
        <v>167</v>
      </c>
      <c r="Q51" s="82" t="s">
        <v>168</v>
      </c>
    </row>
    <row r="52" spans="1:17" ht="15.75" thickBot="1" x14ac:dyDescent="0.3">
      <c r="A52" s="37">
        <v>50</v>
      </c>
      <c r="B52" s="116"/>
      <c r="C52" s="70" t="s">
        <v>124</v>
      </c>
      <c r="D52" s="71" t="s">
        <v>125</v>
      </c>
      <c r="E52" s="71" t="s">
        <v>166</v>
      </c>
      <c r="F52" s="72" t="s">
        <v>144</v>
      </c>
      <c r="G52" s="73" t="s">
        <v>167</v>
      </c>
      <c r="H52" s="73" t="s">
        <v>167</v>
      </c>
      <c r="I52" s="73" t="s">
        <v>267</v>
      </c>
      <c r="J52" s="74">
        <v>4</v>
      </c>
      <c r="K52" s="17">
        <f t="shared" si="0"/>
        <v>20</v>
      </c>
      <c r="L52" s="73" t="s">
        <v>167</v>
      </c>
      <c r="M52" s="75" t="s">
        <v>167</v>
      </c>
      <c r="N52" s="75" t="s">
        <v>167</v>
      </c>
      <c r="O52" s="75" t="s">
        <v>167</v>
      </c>
      <c r="P52" s="75" t="s">
        <v>167</v>
      </c>
      <c r="Q52" s="76" t="s">
        <v>168</v>
      </c>
    </row>
    <row r="53" spans="1:17" s="131" customFormat="1" ht="15.75" thickBot="1" x14ac:dyDescent="0.3">
      <c r="A53" s="37">
        <v>51</v>
      </c>
      <c r="B53" s="136" t="s">
        <v>263</v>
      </c>
      <c r="C53" s="34" t="s">
        <v>265</v>
      </c>
      <c r="E53" s="4" t="s">
        <v>166</v>
      </c>
      <c r="F53" s="4" t="s">
        <v>264</v>
      </c>
      <c r="G53" s="132" t="s">
        <v>266</v>
      </c>
      <c r="H53" s="132" t="s">
        <v>266</v>
      </c>
      <c r="I53" s="132" t="s">
        <v>268</v>
      </c>
      <c r="J53" s="134">
        <v>2</v>
      </c>
      <c r="K53" s="135">
        <f t="shared" si="0"/>
        <v>10</v>
      </c>
      <c r="L53" s="133" t="s">
        <v>270</v>
      </c>
      <c r="M53" s="132"/>
      <c r="N53" s="132"/>
      <c r="O53" s="132"/>
      <c r="P53" s="132"/>
      <c r="Q53" s="132"/>
    </row>
    <row r="54" spans="1:17" ht="26.25" thickBot="1" x14ac:dyDescent="0.3">
      <c r="A54" s="37">
        <v>52</v>
      </c>
      <c r="B54" s="137"/>
      <c r="C54" s="138" t="s">
        <v>274</v>
      </c>
      <c r="E54" s="4" t="s">
        <v>166</v>
      </c>
      <c r="F54" s="4" t="s">
        <v>269</v>
      </c>
      <c r="G54" s="140" t="s">
        <v>266</v>
      </c>
      <c r="H54" s="140" t="s">
        <v>266</v>
      </c>
      <c r="J54" s="134">
        <v>2</v>
      </c>
      <c r="K54" s="135">
        <f t="shared" si="0"/>
        <v>10</v>
      </c>
      <c r="L54" s="139" t="s">
        <v>270</v>
      </c>
    </row>
    <row r="55" spans="1:17" ht="15.75" thickBot="1" x14ac:dyDescent="0.3">
      <c r="A55" s="37">
        <v>53</v>
      </c>
      <c r="B55" s="137"/>
      <c r="F55" s="134" t="s">
        <v>271</v>
      </c>
      <c r="J55" s="134">
        <v>1</v>
      </c>
      <c r="K55" s="135">
        <f t="shared" si="0"/>
        <v>5</v>
      </c>
    </row>
    <row r="56" spans="1:17" x14ac:dyDescent="0.25">
      <c r="A56" s="37">
        <v>54</v>
      </c>
      <c r="B56" s="137"/>
      <c r="F56" s="134" t="s">
        <v>272</v>
      </c>
      <c r="J56" s="134">
        <v>1</v>
      </c>
      <c r="K56" s="135">
        <f t="shared" si="0"/>
        <v>5</v>
      </c>
    </row>
    <row r="57" spans="1:17" ht="19.5" thickBot="1" x14ac:dyDescent="0.35">
      <c r="J57" s="112" t="s">
        <v>163</v>
      </c>
      <c r="K57" s="112"/>
      <c r="L57" s="112"/>
      <c r="M57" s="112"/>
      <c r="N57" s="38"/>
      <c r="O57" s="39"/>
      <c r="P57" s="40">
        <f>SUM(P3:P50)</f>
        <v>243.95400000000001</v>
      </c>
    </row>
    <row r="58" spans="1:17" ht="18.75" x14ac:dyDescent="0.3">
      <c r="J58" s="113" t="s">
        <v>164</v>
      </c>
      <c r="K58" s="113"/>
      <c r="L58" s="113"/>
      <c r="M58" s="113"/>
      <c r="N58" s="41">
        <f>SUM(N3:N50)</f>
        <v>52.83100000000001</v>
      </c>
      <c r="O58" s="42"/>
      <c r="P58" s="41">
        <f>P57/5</f>
        <v>48.790800000000004</v>
      </c>
    </row>
  </sheetData>
  <mergeCells count="10">
    <mergeCell ref="A1:Q1"/>
    <mergeCell ref="J57:M57"/>
    <mergeCell ref="J58:M58"/>
    <mergeCell ref="B37:B45"/>
    <mergeCell ref="B46:B52"/>
    <mergeCell ref="B18:B19"/>
    <mergeCell ref="B20:B22"/>
    <mergeCell ref="B23:B35"/>
    <mergeCell ref="B11:B14"/>
    <mergeCell ref="B15:B17"/>
  </mergeCells>
  <phoneticPr fontId="17" type="noConversion"/>
  <conditionalFormatting sqref="N5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{E28843A6-939A-4D81-986F-F3619153DF5E}</x14:id>
        </ext>
      </extLst>
    </cfRule>
  </conditionalFormatting>
  <conditionalFormatting sqref="P57:P5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{36ECBF5D-EFFC-4768-AC2E-9F5CCB8EA1CF}</x14:id>
        </ext>
      </extLst>
    </cfRule>
  </conditionalFormatting>
  <conditionalFormatting sqref="Q52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{8043E1D2-A386-4972-9379-8F1175F4CD55}</x14:id>
        </ext>
      </extLst>
    </cfRule>
  </conditionalFormatting>
  <conditionalFormatting sqref="J3:K3 J4:J50 J52:J56 K4:K5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{568B2A70-A44C-42B7-B5F8-9C8E28B37608}</x14:id>
        </ext>
      </extLst>
    </cfRule>
  </conditionalFormatting>
  <conditionalFormatting sqref="N3:N50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{B802BE45-AE6E-4AFB-92D7-CAE7DD159284}</x14:id>
        </ext>
      </extLst>
    </cfRule>
  </conditionalFormatting>
  <conditionalFormatting sqref="P3:P50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{423AC320-90C5-4685-9B12-A5EE24B441D5}</x14:id>
        </ext>
      </extLst>
    </cfRule>
  </conditionalFormatting>
  <hyperlinks>
    <hyperlink ref="G3" r:id="rId1" display="https://lcsc.com/brand-detail/254.html"/>
    <hyperlink ref="G4" r:id="rId2" display="https://lcsc.com/brand-detail/254.html"/>
    <hyperlink ref="G6" r:id="rId3" display="https://lcsc.com/brand-detail/392.html"/>
    <hyperlink ref="G7" r:id="rId4" display="https://lcsc.com/brand-detail/254.html"/>
    <hyperlink ref="G8" r:id="rId5" display="https://lcsc.com/brand-detail/994.html"/>
    <hyperlink ref="G12" r:id="rId6" display="https://lcsc.com/brand-detail/296.html"/>
    <hyperlink ref="G22" r:id="rId7" display="https://lcsc.com/brand-detail/94.html"/>
    <hyperlink ref="G24" r:id="rId8" display="https://lcsc.com/brand-detail/396.html"/>
    <hyperlink ref="G41" r:id="rId9" display="https://lcsc.com/brand-detail/756.html"/>
    <hyperlink ref="G42" r:id="rId10" display="https://lcsc.com/brand-detail/100.html"/>
    <hyperlink ref="G47:G49" r:id="rId11" display="https://lcsc.com/brand-detail/853.html"/>
    <hyperlink ref="G50" r:id="rId12" display="https://lcsc.com/brand-detail/109.html"/>
    <hyperlink ref="L3" r:id="rId13"/>
    <hyperlink ref="L4" r:id="rId14"/>
    <hyperlink ref="L7" r:id="rId15"/>
    <hyperlink ref="L8" r:id="rId16"/>
    <hyperlink ref="G9" r:id="rId17" display="https://lcsc.com/brand-detail/994.html"/>
    <hyperlink ref="L11" r:id="rId18"/>
    <hyperlink ref="G11" r:id="rId19" display="https://www.digikey.com/en/supplier-centers/central-semiconductor"/>
    <hyperlink ref="L12" r:id="rId20"/>
    <hyperlink ref="G13" r:id="rId21" display="https://www.digikey.com/en/supplier-centers/sunled"/>
    <hyperlink ref="L13" r:id="rId22"/>
    <hyperlink ref="G18" r:id="rId23" display="https://www.digikey.com/en/supplier-centers/wurth-electronics"/>
    <hyperlink ref="L18" r:id="rId24"/>
    <hyperlink ref="L19" r:id="rId25"/>
    <hyperlink ref="G20" r:id="rId26" display="https://lcsc.com/brand-detail/296.html"/>
    <hyperlink ref="G19" r:id="rId27" display="https://www.digikey.com/en/supplier-centers/tdk"/>
    <hyperlink ref="L20" r:id="rId28"/>
    <hyperlink ref="L22" r:id="rId29"/>
    <hyperlink ref="G23" r:id="rId30" display="https://www.digikey.com/en/supplier-centers/te-connectivity-amp"/>
    <hyperlink ref="L23" r:id="rId31"/>
    <hyperlink ref="L24" r:id="rId32"/>
    <hyperlink ref="G28" r:id="rId33" display="https://www.digikey.com/en/supplier-centers/rohm-semi"/>
    <hyperlink ref="L28" r:id="rId34"/>
    <hyperlink ref="G29" r:id="rId35" display="https://www.digikey.com/en/supplier-centers/panasonic"/>
    <hyperlink ref="L29" r:id="rId36"/>
    <hyperlink ref="G30" r:id="rId37" display="https://www.digikey.com/en/supplier-centers/vishay-dale"/>
    <hyperlink ref="L30" r:id="rId38"/>
    <hyperlink ref="G31" r:id="rId39" display="https://www.digikey.com/en/supplier-centers/vishay-dale"/>
    <hyperlink ref="L31" r:id="rId40"/>
    <hyperlink ref="L33" r:id="rId41"/>
    <hyperlink ref="G33" r:id="rId42" display="https://www.digikey.com/en/supplier-centers/vishay-dale"/>
    <hyperlink ref="G34" r:id="rId43" display="https://www.digikey.com/en/supplier-centers/yageo"/>
    <hyperlink ref="L34" r:id="rId44"/>
    <hyperlink ref="G35" r:id="rId45" display="https://www.digikey.com/en/supplier-centers/stackpole-electronics"/>
    <hyperlink ref="L35" r:id="rId46"/>
    <hyperlink ref="G38" r:id="rId47" display="https://www.digikey.com/en/supplier-centers/texas-instruments"/>
    <hyperlink ref="G39" r:id="rId48" display="https://www.digikey.com/en/supplier-centers/stmicroelectronics"/>
    <hyperlink ref="L39" r:id="rId49"/>
    <hyperlink ref="L42" r:id="rId50"/>
    <hyperlink ref="G46" r:id="rId51" display="https://lcsc.com/brand-detail/853.html"/>
    <hyperlink ref="G45" r:id="rId52" display="https://www.digikey.com/en/supplier-centers/analog-devices"/>
    <hyperlink ref="L45" r:id="rId53"/>
    <hyperlink ref="L46" r:id="rId54"/>
    <hyperlink ref="L47" r:id="rId55"/>
    <hyperlink ref="L49" r:id="rId56"/>
    <hyperlink ref="L50" r:id="rId57"/>
    <hyperlink ref="L9" r:id="rId58"/>
    <hyperlink ref="L38" r:id="rId59"/>
    <hyperlink ref="L37" r:id="rId60"/>
    <hyperlink ref="L41" r:id="rId61"/>
    <hyperlink ref="L14" r:id="rId62"/>
    <hyperlink ref="L21" r:id="rId63"/>
    <hyperlink ref="L25" r:id="rId64"/>
    <hyperlink ref="G25" r:id="rId65" display="https://lcsc.com/brand-detail/396.html"/>
    <hyperlink ref="L32" r:id="rId66"/>
    <hyperlink ref="G27" r:id="rId67" display="https://www.digikey.com/en/supplier-centers/te-connectivity-amp"/>
    <hyperlink ref="L36" r:id="rId68"/>
    <hyperlink ref="G37" r:id="rId69" display="https://lcsc.com/brand-detail/877.html"/>
    <hyperlink ref="L40" r:id="rId70"/>
    <hyperlink ref="L43" r:id="rId71"/>
    <hyperlink ref="L44" r:id="rId72"/>
    <hyperlink ref="L48" r:id="rId73"/>
    <hyperlink ref="L6" r:id="rId74"/>
    <hyperlink ref="L5" r:id="rId75"/>
    <hyperlink ref="L27" r:id="rId76"/>
    <hyperlink ref="L15" r:id="rId77"/>
    <hyperlink ref="L26" r:id="rId78"/>
    <hyperlink ref="G26" r:id="rId79" display="https://lcsc.com/brand-detail/396.html"/>
    <hyperlink ref="L54" r:id="rId80"/>
    <hyperlink ref="L53" r:id="rId81"/>
  </hyperlinks>
  <pageMargins left="0.7" right="0.7" top="0.75" bottom="0.75" header="0.3" footer="0.3"/>
  <pageSetup orientation="portrait" r:id="rId8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843A6-939A-4D81-986F-F3619153D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N58</xm:sqref>
        </x14:conditionalFormatting>
        <x14:conditionalFormatting xmlns:xm="http://schemas.microsoft.com/office/excel/2006/main">
          <x14:cfRule type="dataBar" id="{36ECBF5D-EFFC-4768-AC2E-9F5CCB8EA1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P57:P58</xm:sqref>
        </x14:conditionalFormatting>
        <x14:conditionalFormatting xmlns:xm="http://schemas.microsoft.com/office/excel/2006/main">
          <x14:cfRule type="dataBar" id="{8043E1D2-A386-4972-9379-8F1175F4CD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568B2A70-A44C-42B7-B5F8-9C8E28B376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B802BE45-AE6E-4AFB-92D7-CAE7DD159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N3:N50</xm:sqref>
        </x14:conditionalFormatting>
        <x14:conditionalFormatting xmlns:xm="http://schemas.microsoft.com/office/excel/2006/main">
          <x14:cfRule type="dataBar" id="{423AC320-90C5-4685-9B12-A5EE24B441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P3:P50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2021-04-15T08:46:21Z</dcterms:created>
  <dcterms:modified xsi:type="dcterms:W3CDTF">2021-12-07T11:20:13Z</dcterms:modified>
</cp:coreProperties>
</file>