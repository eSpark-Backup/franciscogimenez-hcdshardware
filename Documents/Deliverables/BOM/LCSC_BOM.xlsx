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eSpark\FranciscoGimenez-HCDSHardware\Documents\Deliverables\BOM\"/>
    </mc:Choice>
  </mc:AlternateContent>
  <xr:revisionPtr revIDLastSave="0" documentId="13_ncr:1_{24211E64-FB13-4ED2-84AB-89DADCB371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8" i="1" l="1"/>
  <c r="P43" i="1"/>
  <c r="P8" i="1"/>
  <c r="P41" i="1"/>
  <c r="P3" i="1"/>
  <c r="R24" i="1"/>
  <c r="P24" i="1"/>
  <c r="P6" i="1"/>
  <c r="P5" i="1"/>
  <c r="P4" i="1"/>
  <c r="R4" i="1"/>
  <c r="R5" i="1"/>
  <c r="R7" i="1"/>
  <c r="R8" i="1"/>
  <c r="R9" i="1"/>
  <c r="R10" i="1"/>
  <c r="R11" i="1"/>
  <c r="R12" i="1"/>
  <c r="R14" i="1"/>
  <c r="R15" i="1"/>
  <c r="R16" i="1"/>
  <c r="R20" i="1"/>
  <c r="R22" i="1"/>
  <c r="R34" i="1"/>
  <c r="R47" i="1"/>
  <c r="R3" i="1"/>
  <c r="P14" i="1"/>
  <c r="P15" i="1"/>
  <c r="P16" i="1"/>
  <c r="M6" i="1"/>
  <c r="R6" i="1" s="1"/>
  <c r="M13" i="1"/>
  <c r="R13" i="1" s="1"/>
  <c r="M17" i="1"/>
  <c r="R17" i="1" s="1"/>
  <c r="M18" i="1"/>
  <c r="R18" i="1" s="1"/>
  <c r="M19" i="1"/>
  <c r="R19" i="1" s="1"/>
  <c r="M21" i="1"/>
  <c r="R21" i="1" s="1"/>
  <c r="M23" i="1"/>
  <c r="R23" i="1" s="1"/>
  <c r="M25" i="1"/>
  <c r="R25" i="1" s="1"/>
  <c r="M26" i="1"/>
  <c r="R26" i="1" s="1"/>
  <c r="M27" i="1"/>
  <c r="R27" i="1" s="1"/>
  <c r="M28" i="1"/>
  <c r="R28" i="1" s="1"/>
  <c r="M29" i="1"/>
  <c r="R29" i="1" s="1"/>
  <c r="M30" i="1"/>
  <c r="R30" i="1" s="1"/>
  <c r="M31" i="1"/>
  <c r="R31" i="1" s="1"/>
  <c r="M32" i="1"/>
  <c r="R32" i="1" s="1"/>
  <c r="M33" i="1"/>
  <c r="R33" i="1" s="1"/>
  <c r="M34" i="1"/>
  <c r="M35" i="1"/>
  <c r="R35" i="1" s="1"/>
  <c r="M36" i="1"/>
  <c r="R36" i="1" s="1"/>
  <c r="M37" i="1"/>
  <c r="R37" i="1" s="1"/>
  <c r="M38" i="1"/>
  <c r="R38" i="1" s="1"/>
  <c r="M39" i="1"/>
  <c r="R39" i="1" s="1"/>
  <c r="M40" i="1"/>
  <c r="R40" i="1" s="1"/>
  <c r="M41" i="1"/>
  <c r="R41" i="1" s="1"/>
  <c r="M42" i="1"/>
  <c r="R42" i="1" s="1"/>
  <c r="M43" i="1"/>
  <c r="R43" i="1" s="1"/>
  <c r="M44" i="1"/>
  <c r="R44" i="1" s="1"/>
  <c r="M45" i="1"/>
  <c r="R45" i="1" s="1"/>
  <c r="M46" i="1"/>
  <c r="R46" i="1" s="1"/>
  <c r="M48" i="1"/>
  <c r="R48" i="1" s="1"/>
  <c r="M49" i="1"/>
  <c r="R49" i="1" s="1"/>
  <c r="P38" i="1"/>
  <c r="P17" i="1"/>
  <c r="P10" i="1"/>
  <c r="P9" i="1"/>
  <c r="P46" i="1" l="1"/>
  <c r="P7" i="1" l="1"/>
  <c r="P11" i="1"/>
  <c r="P12" i="1"/>
  <c r="P13" i="1"/>
  <c r="P18" i="1"/>
  <c r="P19" i="1"/>
  <c r="P20" i="1"/>
  <c r="P21" i="1"/>
  <c r="P22" i="1"/>
  <c r="P23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9" i="1"/>
  <c r="P40" i="1"/>
  <c r="P42" i="1"/>
  <c r="P44" i="1"/>
  <c r="P45" i="1"/>
  <c r="P47" i="1"/>
  <c r="P49" i="1"/>
  <c r="P53" i="1" l="1"/>
  <c r="M50" i="1"/>
  <c r="M51" i="1" l="1"/>
  <c r="R52" i="1" l="1"/>
  <c r="R53" i="1" s="1"/>
</calcChain>
</file>

<file path=xl/sharedStrings.xml><?xml version="1.0" encoding="utf-8"?>
<sst xmlns="http://schemas.openxmlformats.org/spreadsheetml/2006/main" count="496" uniqueCount="322">
  <si>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</si>
  <si>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</si>
  <si>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</si>
  <si>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</si>
  <si>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</si>
  <si>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</si>
  <si>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</si>
  <si>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</si>
  <si>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</si>
  <si>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</si>
  <si>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Unit Cost(1)</t>
  </si>
  <si>
    <t>Total Cost(1)</t>
  </si>
  <si>
    <t>Unit Cost (5 Boards)</t>
  </si>
  <si>
    <t>CAP CER 0.1UF 50V X7R 0603</t>
  </si>
  <si>
    <t>CAP-0603</t>
  </si>
  <si>
    <t>CL10B104KB8NNNL</t>
  </si>
  <si>
    <t>Samsung Electro-Mechanics</t>
  </si>
  <si>
    <t>CAP CER 1UF 25V X5R 0603</t>
  </si>
  <si>
    <t>CL10A105KA8NNNC</t>
  </si>
  <si>
    <t>CAP CER 10UF 25V X5R 0603</t>
  </si>
  <si>
    <t>TMK107BBJ106MA-T</t>
  </si>
  <si>
    <t>Taiyo Yuden</t>
  </si>
  <si>
    <t>CAP CER 4.7UF 25V X5R 0603</t>
  </si>
  <si>
    <t>C33, C34</t>
  </si>
  <si>
    <t>CL10A475KA8NQNC</t>
  </si>
  <si>
    <t>CAP ALUM 100UF 20% 25V SMD</t>
  </si>
  <si>
    <t>UWX1E101MCL1GB</t>
  </si>
  <si>
    <t>Nichicon</t>
  </si>
  <si>
    <t>CAP ALUM 470UF 20% 25V SMD</t>
  </si>
  <si>
    <t>C37, C38</t>
  </si>
  <si>
    <t>UCD1E471MNL1GS</t>
  </si>
  <si>
    <t>Diode</t>
  </si>
  <si>
    <t>DIODE SCHOTTKY 40V 3A SMA</t>
  </si>
  <si>
    <t>D1, D2</t>
  </si>
  <si>
    <t>DO-214AC</t>
  </si>
  <si>
    <t>CMSH3-40MA TR13 PBFREE</t>
  </si>
  <si>
    <t>D3</t>
  </si>
  <si>
    <t>SMA</t>
  </si>
  <si>
    <t>S1A-13-F</t>
  </si>
  <si>
    <t>Diodes Incorporated</t>
  </si>
  <si>
    <t>LED GREEN CLEAR CHIP SMD</t>
  </si>
  <si>
    <t>D4, D5</t>
  </si>
  <si>
    <t>LED 0402</t>
  </si>
  <si>
    <t>XZVG68W-2</t>
  </si>
  <si>
    <t>Inductor</t>
  </si>
  <si>
    <t>FIXED IND 3.3UH 8A 11.8 MOHM SMD</t>
  </si>
  <si>
    <t>74437368033</t>
  </si>
  <si>
    <t>FIXED IND 10UH 2.5A 43.7 MOHM</t>
  </si>
  <si>
    <t>L2</t>
  </si>
  <si>
    <t>SLF10145T-100M2R5-PF</t>
  </si>
  <si>
    <t>Transistor</t>
  </si>
  <si>
    <t>TRANS NPN 40V 0.6A SMD SOT23-3</t>
  </si>
  <si>
    <t>Q1, Q2</t>
  </si>
  <si>
    <t>MMBT2222A-7-F</t>
  </si>
  <si>
    <t>TRANS PNP 40V 600MA SOT23-3</t>
  </si>
  <si>
    <t>Q4</t>
  </si>
  <si>
    <t>MMBT4403LT1G</t>
  </si>
  <si>
    <t>ON Semiconductor</t>
  </si>
  <si>
    <t>RES SMD 10K OHM 5% 1/5W 0603</t>
  </si>
  <si>
    <t>RES-0603</t>
  </si>
  <si>
    <t>CRGH0603J10K</t>
  </si>
  <si>
    <t>RES SMD 54.9K OHM 1% 1/10W 0603</t>
  </si>
  <si>
    <t>R5</t>
  </si>
  <si>
    <t>RC0603FR-0754K9L</t>
  </si>
  <si>
    <t>YAGEO</t>
  </si>
  <si>
    <t>RES SMD 20K OHM 1% 1/4W 0603</t>
  </si>
  <si>
    <t>ESR03EZPF2002</t>
  </si>
  <si>
    <t>RES SMD 8.2K OHM 5% 1/4W 0603</t>
  </si>
  <si>
    <t>ERJ-PA3J822V</t>
  </si>
  <si>
    <t>RES SMD 100 OHM 1% 1/4W 0603</t>
  </si>
  <si>
    <t>RCA0603100RFKEAHP</t>
  </si>
  <si>
    <t>RES SMD 301K OHM 1% 1/10W 0603</t>
  </si>
  <si>
    <t>CRCW0603301KFKEB</t>
  </si>
  <si>
    <t>R26</t>
  </si>
  <si>
    <t>RES SMD 536K OHM 1% 1/10W 0603</t>
  </si>
  <si>
    <t>R27</t>
  </si>
  <si>
    <t>CRCW0603536KFKEA</t>
  </si>
  <si>
    <t>RES SMD 453K OHM 1% 1/10W 0603</t>
  </si>
  <si>
    <t>R28</t>
  </si>
  <si>
    <t>RC0603FR-07453KL</t>
  </si>
  <si>
    <t>RES 5.1K OHM 1% 1/10W 0603</t>
  </si>
  <si>
    <t>R29, R30, R77, R78</t>
  </si>
  <si>
    <t>RMCF0603FT5K10</t>
  </si>
  <si>
    <t>Switch</t>
  </si>
  <si>
    <t>SW1</t>
  </si>
  <si>
    <t>ICS</t>
  </si>
  <si>
    <t>RX TXRX MOD WIFI SURFACE MOUNT</t>
  </si>
  <si>
    <t>U1</t>
  </si>
  <si>
    <t>ESP32-WROOM-32D (8MB)</t>
  </si>
  <si>
    <t>Espressif Systems</t>
  </si>
  <si>
    <t>IC REG BUCK ADJ 5A TSOT23-6</t>
  </si>
  <si>
    <t>U2</t>
  </si>
  <si>
    <t>SOT 23-6</t>
  </si>
  <si>
    <t>TPS565208DDCT</t>
  </si>
  <si>
    <t>IC REG LINEAR 3.3V 1A DPAK</t>
  </si>
  <si>
    <t>U3</t>
  </si>
  <si>
    <t>LDF33DT-TR</t>
  </si>
  <si>
    <t>U4</t>
  </si>
  <si>
    <t>Texas Instruments</t>
  </si>
  <si>
    <t>LOAD CELL AMP HX711</t>
  </si>
  <si>
    <t>U6</t>
  </si>
  <si>
    <t>HX711</t>
  </si>
  <si>
    <t>Avia Semicon (Xiamen)</t>
  </si>
  <si>
    <t>IC BUF NON-INVERT 5.5V SOT23-5</t>
  </si>
  <si>
    <t>SOT-23-5</t>
  </si>
  <si>
    <t>SN74LV1T34DBVR</t>
  </si>
  <si>
    <t>STMicroelectronics</t>
  </si>
  <si>
    <t>U13</t>
  </si>
  <si>
    <t>LT3652EDD#PBF</t>
  </si>
  <si>
    <t>Connectors</t>
  </si>
  <si>
    <t>B2B-XH-A(LF)(SN)</t>
  </si>
  <si>
    <t>JST Sales America</t>
  </si>
  <si>
    <t>CONN HEADER VERT 4POS 2.5MM</t>
  </si>
  <si>
    <t>J2, J12, J17</t>
  </si>
  <si>
    <t>B4B-XH-A(LF)(SN)</t>
  </si>
  <si>
    <t>CONN HEADER VERT 3POS 2.5MM</t>
  </si>
  <si>
    <t>B3B-XH-A(LF)(SN)</t>
  </si>
  <si>
    <t>CONN HEADER VERT 7POS 2.5MM</t>
  </si>
  <si>
    <t>J14, J15</t>
  </si>
  <si>
    <t>B7B-XH-A(LF)(SN)</t>
  </si>
  <si>
    <t>CONN RCP USB3.1 TYPEC 24P SMD RA</t>
  </si>
  <si>
    <t>J16</t>
  </si>
  <si>
    <t>2305018-2</t>
  </si>
  <si>
    <t>TE Connectivity</t>
  </si>
  <si>
    <t>Test Point ON</t>
  </si>
  <si>
    <t>0.1uF</t>
  </si>
  <si>
    <t>1uF</t>
  </si>
  <si>
    <t>10uF</t>
  </si>
  <si>
    <t>4.7uF</t>
  </si>
  <si>
    <t>100uF</t>
  </si>
  <si>
    <t>470uF</t>
  </si>
  <si>
    <t>3.3uH</t>
  </si>
  <si>
    <t>10uH</t>
  </si>
  <si>
    <t>10K</t>
  </si>
  <si>
    <t>54.9K</t>
  </si>
  <si>
    <t>20K</t>
  </si>
  <si>
    <t>8.2K</t>
  </si>
  <si>
    <t>100R</t>
  </si>
  <si>
    <t>301k</t>
  </si>
  <si>
    <t>0.05R</t>
  </si>
  <si>
    <t>536K</t>
  </si>
  <si>
    <t>453K</t>
  </si>
  <si>
    <t>5.1K</t>
  </si>
  <si>
    <t>Test Point</t>
  </si>
  <si>
    <t>Total Cost (5)</t>
  </si>
  <si>
    <t>Remarks</t>
  </si>
  <si>
    <t>Central Semiconductor Corp</t>
  </si>
  <si>
    <t>SunLED</t>
  </si>
  <si>
    <t>Würth Elektronik</t>
  </si>
  <si>
    <t>TDK Corporation</t>
  </si>
  <si>
    <t>TE Connectivity Passive Product</t>
  </si>
  <si>
    <t>Stackpole Electronics Inc</t>
  </si>
  <si>
    <t>Rohm Semiconductor</t>
  </si>
  <si>
    <t>Yageo</t>
  </si>
  <si>
    <t>Panasonic Electronic Components</t>
  </si>
  <si>
    <t>Vishay Dale</t>
  </si>
  <si>
    <t>Analog Devices Inc.</t>
  </si>
  <si>
    <t>Bill of Material (BOM) for  Francisco Gimenez</t>
  </si>
  <si>
    <t>-</t>
  </si>
  <si>
    <t xml:space="preserve">Total Component Cost </t>
  </si>
  <si>
    <t>Single Board Cost</t>
  </si>
  <si>
    <t>---------------</t>
  </si>
  <si>
    <t>Custom</t>
  </si>
  <si>
    <t>-------------</t>
  </si>
  <si>
    <t>DO NOT Mount</t>
  </si>
  <si>
    <t>RES 0.05 OHM 1% 1/2W 2010</t>
  </si>
  <si>
    <t>WSL2010R0500FEA</t>
  </si>
  <si>
    <t>Out of Stock. Footprint Equivalent Alternative</t>
  </si>
  <si>
    <t>SOT-23</t>
  </si>
  <si>
    <t xml:space="preserve">DIODE GEN PURP 50V 1A SMA
</t>
  </si>
  <si>
    <t>DIODE SCHOTTKY 5A 40V SMB</t>
  </si>
  <si>
    <t>D6</t>
  </si>
  <si>
    <t>SMB</t>
  </si>
  <si>
    <t>SS54B-HF</t>
  </si>
  <si>
    <t>Comchip Technology</t>
  </si>
  <si>
    <t>MOSFET P-CH 12V 2.6A SUPERSOT3</t>
  </si>
  <si>
    <t>SuperSOT-3</t>
  </si>
  <si>
    <t>FDN306P</t>
  </si>
  <si>
    <t>RES SMD 470K OHM 5% 1/10W 0603</t>
  </si>
  <si>
    <t>R8</t>
  </si>
  <si>
    <t>AC0603JR-07470KL</t>
  </si>
  <si>
    <t>470K</t>
  </si>
  <si>
    <t>RES 2010</t>
  </si>
  <si>
    <t xml:space="preserve"> 
Vishay Dale</t>
  </si>
  <si>
    <t>RES SMD 100K OHM 5% 1/5W 0603</t>
  </si>
  <si>
    <t>CRGH0603J100K</t>
  </si>
  <si>
    <t>100K</t>
  </si>
  <si>
    <t>SWITCH TACTILE SPST-NO 0.05A 12V</t>
  </si>
  <si>
    <t>B3U-1000P</t>
  </si>
  <si>
    <t xml:space="preserve">
Omron Electronics Inc-EMC Div</t>
  </si>
  <si>
    <t>DPAK</t>
  </si>
  <si>
    <t>IC OR CTRLR SRC SELECT TSOT23-6</t>
  </si>
  <si>
    <t>TSOT-23-6</t>
  </si>
  <si>
    <t>LTC4412IS6#TRPBF</t>
  </si>
  <si>
    <t xml:space="preserve">
Analog Devices Inc.</t>
  </si>
  <si>
    <t>IC PWR SWITCH P-CHAN 1:1 6TSOP</t>
  </si>
  <si>
    <t>U14</t>
  </si>
  <si>
    <t>6-TSOP</t>
  </si>
  <si>
    <t>SI3865DDV-T1-GE3</t>
  </si>
  <si>
    <t>IC SUPERVISOR 1 CHANNEL 3SSOP</t>
  </si>
  <si>
    <t>U17</t>
  </si>
  <si>
    <t>SSOP-3</t>
  </si>
  <si>
    <t>BD48K50G-TL</t>
  </si>
  <si>
    <t xml:space="preserve">
Vishay Siliconix</t>
  </si>
  <si>
    <t xml:space="preserve">
Rohm Semiconductor</t>
  </si>
  <si>
    <t xml:space="preserve">CONN HEADER VERT 2POS 2.5MM
</t>
  </si>
  <si>
    <t>J10, J11, J13, J20, J30</t>
  </si>
  <si>
    <t>Capacitors</t>
  </si>
  <si>
    <t>Resistors</t>
  </si>
  <si>
    <t>12DFN</t>
  </si>
  <si>
    <t>Solder Bridge ON</t>
  </si>
  <si>
    <t>SB1</t>
  </si>
  <si>
    <t>Solder Bridge</t>
  </si>
  <si>
    <t xml:space="preserve">LCSC Part No </t>
  </si>
  <si>
    <t>C913912</t>
  </si>
  <si>
    <t>C5673</t>
  </si>
  <si>
    <t>C386081</t>
  </si>
  <si>
    <t>C69335</t>
  </si>
  <si>
    <t>C125982</t>
  </si>
  <si>
    <t>C249933</t>
  </si>
  <si>
    <t>VZH471M1ETR-1010</t>
  </si>
  <si>
    <t>LCSC/MOQ</t>
  </si>
  <si>
    <t>LCSC Link</t>
  </si>
  <si>
    <t>LCSC</t>
  </si>
  <si>
    <t>C150735</t>
  </si>
  <si>
    <t>C434446</t>
  </si>
  <si>
    <t>SZYY0402G</t>
  </si>
  <si>
    <t>C96116</t>
  </si>
  <si>
    <t>C94515</t>
  </si>
  <si>
    <t>C161787</t>
  </si>
  <si>
    <t>C185321</t>
  </si>
  <si>
    <t>ERJPB3B1002V</t>
  </si>
  <si>
    <t>0603WAF5363T5E</t>
  </si>
  <si>
    <t>0603WAF4533T5E</t>
  </si>
  <si>
    <t>C23200</t>
  </si>
  <si>
    <t>C25818</t>
  </si>
  <si>
    <t>0603WAF3013T5E</t>
  </si>
  <si>
    <t>C23026</t>
  </si>
  <si>
    <t>C491196</t>
  </si>
  <si>
    <t>ERJUP3J101V</t>
  </si>
  <si>
    <t>RS-03K5101FT</t>
  </si>
  <si>
    <t>C156350</t>
  </si>
  <si>
    <t>C158012</t>
  </si>
  <si>
    <t>C144395</t>
  </si>
  <si>
    <t>C144394</t>
  </si>
  <si>
    <t>C144398</t>
  </si>
  <si>
    <t>C498674</t>
  </si>
  <si>
    <t>LCCS</t>
  </si>
  <si>
    <t>C100024</t>
  </si>
  <si>
    <t>C154510</t>
  </si>
  <si>
    <t xml:space="preserve">C144601
</t>
  </si>
  <si>
    <t xml:space="preserve">RC0603FR-0720KL
</t>
  </si>
  <si>
    <t xml:space="preserve">C105575
</t>
  </si>
  <si>
    <t xml:space="preserve">C445835
</t>
  </si>
  <si>
    <t>ERJUP3J104V</t>
  </si>
  <si>
    <t>C491207</t>
  </si>
  <si>
    <t xml:space="preserve">RL2010FK-070R05L
</t>
  </si>
  <si>
    <t>C309643</t>
  </si>
  <si>
    <t>C231329</t>
  </si>
  <si>
    <t>C529577</t>
  </si>
  <si>
    <t>C521306</t>
  </si>
  <si>
    <t xml:space="preserve">C43656
</t>
  </si>
  <si>
    <t>SOP-16</t>
  </si>
  <si>
    <t>C141534</t>
  </si>
  <si>
    <t>Quantity (5 boards)</t>
  </si>
  <si>
    <t>Footprint Equivalent Alternative</t>
  </si>
  <si>
    <t>CAP CER 2.2UF 25V X5R 0603</t>
  </si>
  <si>
    <t>CC0603KRX5R8BB225</t>
  </si>
  <si>
    <t>C309478</t>
  </si>
  <si>
    <t>2.2uF</t>
  </si>
  <si>
    <t>C85098</t>
  </si>
  <si>
    <t>B340A-13-F</t>
  </si>
  <si>
    <t>C32513</t>
  </si>
  <si>
    <t>SS54B</t>
  </si>
  <si>
    <t>----------</t>
  </si>
  <si>
    <t>Part Not available on LCSC. Exact part is compulsory.</t>
  </si>
  <si>
    <t>C75556</t>
  </si>
  <si>
    <t>PMBT4403,215</t>
  </si>
  <si>
    <t>Out of Stock (LCSC). Exact part is compulsory</t>
  </si>
  <si>
    <t>C42, C54</t>
  </si>
  <si>
    <t>Out of Stock (LCSC, digikey and Mouser). Exact part is compulsory</t>
  </si>
  <si>
    <t>Out of Stock. There is some difference in Footprint of alternate part.</t>
  </si>
  <si>
    <t>Exact same land pattern not availblr.</t>
  </si>
  <si>
    <t>C1, C11, C13, C14, C15, C17, C21, C32, C36, C51, C53, CF1, CF3</t>
  </si>
  <si>
    <t>C3, C4, C16, C39, C41, C50, C52</t>
  </si>
  <si>
    <t>C6, C7, C12, C31, C35, CF2</t>
  </si>
  <si>
    <t>C5</t>
  </si>
  <si>
    <t>Yellow 2 x 1.25 x 1.1 mm 130° Water Clear 112 mcd 1.8 V LED Surface Mount</t>
  </si>
  <si>
    <t>LED1</t>
  </si>
  <si>
    <t>LTST-C170KSKT</t>
  </si>
  <si>
    <t>LED BLUE 0805 SMD</t>
  </si>
  <si>
    <t>LED2</t>
  </si>
  <si>
    <t>17-21/BHC-XL2M2TY/3T</t>
  </si>
  <si>
    <t>LED GREEN 574nm 2-Pin Chip 0805 SMD</t>
  </si>
  <si>
    <t>LED3</t>
  </si>
  <si>
    <t>LED 0805</t>
  </si>
  <si>
    <t>LTST-C171KGKT</t>
  </si>
  <si>
    <t>Vishay Lite-On</t>
  </si>
  <si>
    <t>Everlight Elec</t>
  </si>
  <si>
    <t>LED</t>
  </si>
  <si>
    <t>C125091</t>
  </si>
  <si>
    <t>C72035</t>
  </si>
  <si>
    <t>C98224</t>
  </si>
  <si>
    <t>L1</t>
  </si>
  <si>
    <t>J3, J24, J25, J26, J27, J28, J29</t>
  </si>
  <si>
    <t>P1, P2, P3, P4, P5, P6</t>
  </si>
  <si>
    <t>Q3</t>
  </si>
  <si>
    <t>R1, R9, R10, R15</t>
  </si>
  <si>
    <t>R2</t>
  </si>
  <si>
    <t>R3, R4, R11, R12, R13, R32, RF1</t>
  </si>
  <si>
    <t>R6, R36, R37</t>
  </si>
  <si>
    <t>R7</t>
  </si>
  <si>
    <t>R14</t>
  </si>
  <si>
    <t>RES  0.1W, 470½, 0.1%, 0603, RoHS</t>
  </si>
  <si>
    <t>R16</t>
  </si>
  <si>
    <t>ERA3VEB4700V</t>
  </si>
  <si>
    <t>Panasonic</t>
  </si>
  <si>
    <t>C490793</t>
  </si>
  <si>
    <t>470R</t>
  </si>
  <si>
    <t>U7, U8, U19</t>
  </si>
  <si>
    <t>Aliexpress</t>
  </si>
  <si>
    <t>Alibaba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</si>
</sst>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&quot;$&quot;#,##0.0000"/>
    <numFmt numFmtId="166" formatCode="_(&quot;$&quot;* #,##0.0000_);_(&quot;$&quot;* \(#,##0.0000\);_(&quot;$&quot;* &quot;-&quot;??_);_(@_)"/>
    <numFmt numFmtId="167" formatCode="_-[$$-409]* #,##0.00_ ;_-[$$-409]* \-#,##0.00\ ;_-[$$-409]* &quot;-&quot;??_ ;_-@_ "/>
  </numFmts>
  <fonts count="18" x14ac:knownFonts="1"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8">
    <xf numFmtId="0" fontId="0" fillId="0" borderId="0" xfId="0"/>
    <xf numFmtId="0" fontId="2" fillId="0" borderId="3" xfId="1" applyFont="1" applyBorder="1" applyAlignment="1" applyProtection="1">
      <alignment horizontal="center" vertical="center"/>
    </xf>
    <xf numFmtId="0" fontId="2" fillId="0" borderId="3" xfId="1" applyFont="1" applyBorder="1" applyAlignment="1" applyProtection="1">
      <alignment horizontal="center" vertical="center" wrapText="1"/>
    </xf>
    <xf numFmtId="0" fontId="2" fillId="4" borderId="3" xfId="1" applyFont="1" applyFill="1" applyBorder="1" applyAlignment="1" applyProtection="1">
      <alignment horizontal="center" vertical="center" wrapText="1"/>
    </xf>
    <xf numFmtId="0" fontId="6" fillId="0" borderId="3" xfId="0" quotePrefix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6" xfId="0" quotePrefix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2" fillId="0" borderId="2" xfId="1" applyFont="1" applyBorder="1" applyAlignment="1" applyProtection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6" xfId="1" applyFont="1" applyBorder="1" applyAlignment="1" applyProtection="1">
      <alignment horizontal="center" vertical="center"/>
    </xf>
    <xf numFmtId="0" fontId="2" fillId="4" borderId="6" xfId="1" applyFont="1" applyFill="1" applyBorder="1" applyAlignment="1" applyProtection="1">
      <alignment horizontal="center" vertical="center" wrapText="1"/>
    </xf>
    <xf numFmtId="0" fontId="2" fillId="4" borderId="2" xfId="1" applyFont="1" applyFill="1" applyBorder="1" applyAlignment="1" applyProtection="1">
      <alignment horizontal="center" vertical="center" wrapText="1"/>
    </xf>
    <xf numFmtId="0" fontId="2" fillId="0" borderId="2" xfId="1" applyFont="1" applyBorder="1" applyAlignment="1" applyProtection="1">
      <alignment horizontal="center" vertical="center" wrapText="1"/>
    </xf>
    <xf numFmtId="0" fontId="6" fillId="0" borderId="1" xfId="0" quotePrefix="1" applyFont="1" applyBorder="1" applyAlignment="1">
      <alignment horizontal="left" vertical="top"/>
    </xf>
    <xf numFmtId="0" fontId="6" fillId="0" borderId="11" xfId="0" quotePrefix="1" applyFont="1" applyBorder="1" applyAlignment="1">
      <alignment horizontal="left" vertical="top"/>
    </xf>
    <xf numFmtId="0" fontId="6" fillId="0" borderId="12" xfId="0" quotePrefix="1" applyFont="1" applyBorder="1" applyAlignment="1">
      <alignment horizontal="left" vertical="top"/>
    </xf>
    <xf numFmtId="0" fontId="3" fillId="2" borderId="13" xfId="0" applyFont="1" applyFill="1" applyBorder="1" applyAlignment="1">
      <alignment horizontal="center" vertical="center"/>
    </xf>
    <xf numFmtId="0" fontId="10" fillId="0" borderId="0" xfId="0" applyFont="1" applyBorder="1"/>
    <xf numFmtId="166" fontId="0" fillId="0" borderId="0" xfId="0" applyNumberFormat="1" applyFont="1" applyBorder="1"/>
    <xf numFmtId="164" fontId="0" fillId="0" borderId="0" xfId="0" applyNumberFormat="1" applyFont="1" applyBorder="1"/>
    <xf numFmtId="164" fontId="0" fillId="0" borderId="0" xfId="0" applyNumberFormat="1" applyBorder="1"/>
    <xf numFmtId="166" fontId="0" fillId="0" borderId="0" xfId="0" applyNumberFormat="1" applyBorder="1"/>
    <xf numFmtId="0" fontId="6" fillId="5" borderId="11" xfId="0" quotePrefix="1" applyFont="1" applyFill="1" applyBorder="1" applyAlignment="1">
      <alignment horizontal="left" vertical="top"/>
    </xf>
    <xf numFmtId="0" fontId="6" fillId="5" borderId="3" xfId="0" quotePrefix="1" applyFont="1" applyFill="1" applyBorder="1" applyAlignment="1">
      <alignment horizontal="center" vertical="center"/>
    </xf>
    <xf numFmtId="0" fontId="2" fillId="5" borderId="3" xfId="1" applyFont="1" applyFill="1" applyBorder="1" applyAlignment="1" applyProtection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165" fontId="4" fillId="5" borderId="3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" fillId="5" borderId="3" xfId="1" applyFont="1" applyFill="1" applyBorder="1" applyAlignment="1" applyProtection="1">
      <alignment horizontal="center" vertical="center" wrapText="1"/>
    </xf>
    <xf numFmtId="0" fontId="6" fillId="0" borderId="1" xfId="0" quotePrefix="1" applyFont="1" applyBorder="1" applyAlignment="1">
      <alignment vertical="center"/>
    </xf>
    <xf numFmtId="0" fontId="5" fillId="5" borderId="7" xfId="0" applyFont="1" applyFill="1" applyBorder="1" applyAlignment="1">
      <alignment horizontal="center" vertical="center" wrapText="1"/>
    </xf>
    <xf numFmtId="0" fontId="6" fillId="0" borderId="11" xfId="0" quotePrefix="1" applyFont="1" applyBorder="1" applyAlignment="1">
      <alignment horizontal="left" vertical="center"/>
    </xf>
    <xf numFmtId="0" fontId="2" fillId="4" borderId="3" xfId="1" applyFont="1" applyFill="1" applyBorder="1" applyAlignment="1" applyProtection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center" vertical="center"/>
    </xf>
    <xf numFmtId="0" fontId="13" fillId="0" borderId="2" xfId="0" quotePrefix="1" applyFont="1" applyBorder="1" applyAlignment="1">
      <alignment horizontal="center" vertical="center"/>
    </xf>
    <xf numFmtId="0" fontId="13" fillId="0" borderId="3" xfId="0" quotePrefix="1" applyFont="1" applyBorder="1" applyAlignment="1">
      <alignment horizontal="center" vertical="center"/>
    </xf>
    <xf numFmtId="0" fontId="13" fillId="5" borderId="3" xfId="0" quotePrefix="1" applyFont="1" applyFill="1" applyBorder="1" applyAlignment="1">
      <alignment horizontal="center" vertical="center"/>
    </xf>
    <xf numFmtId="0" fontId="13" fillId="0" borderId="6" xfId="0" quotePrefix="1" applyFont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8" fillId="3" borderId="22" xfId="0" quotePrefix="1" applyFont="1" applyFill="1" applyBorder="1" applyAlignment="1">
      <alignment horizontal="left" vertical="top" wrapText="1"/>
    </xf>
    <xf numFmtId="0" fontId="8" fillId="3" borderId="23" xfId="0" quotePrefix="1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/>
    </xf>
    <xf numFmtId="0" fontId="8" fillId="3" borderId="23" xfId="0" quotePrefix="1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165" fontId="8" fillId="3" borderId="23" xfId="0" quotePrefix="1" applyNumberFormat="1" applyFont="1" applyFill="1" applyBorder="1" applyAlignment="1">
      <alignment horizontal="center" vertical="center"/>
    </xf>
    <xf numFmtId="167" fontId="9" fillId="3" borderId="24" xfId="0" applyNumberFormat="1" applyFont="1" applyFill="1" applyBorder="1" applyAlignment="1">
      <alignment horizontal="center" vertical="center"/>
    </xf>
    <xf numFmtId="0" fontId="8" fillId="3" borderId="3" xfId="0" quotePrefix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3" xfId="0" quotePrefix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165" fontId="8" fillId="3" borderId="3" xfId="0" quotePrefix="1" applyNumberFormat="1" applyFont="1" applyFill="1" applyBorder="1" applyAlignment="1">
      <alignment horizontal="center" vertical="center"/>
    </xf>
    <xf numFmtId="167" fontId="9" fillId="3" borderId="7" xfId="0" applyNumberFormat="1" applyFont="1" applyFill="1" applyBorder="1" applyAlignment="1">
      <alignment horizontal="center" vertical="center"/>
    </xf>
    <xf numFmtId="0" fontId="8" fillId="3" borderId="11" xfId="0" quotePrefix="1" applyFont="1" applyFill="1" applyBorder="1" applyAlignment="1">
      <alignment horizontal="left" vertical="top" wrapText="1"/>
    </xf>
    <xf numFmtId="0" fontId="13" fillId="0" borderId="1" xfId="0" quotePrefix="1" applyFont="1" applyBorder="1" applyAlignment="1">
      <alignment horizontal="left" vertical="top"/>
    </xf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6" xfId="0" quotePrefix="1" applyFont="1" applyBorder="1" applyAlignment="1">
      <alignment horizontal="center" vertical="center"/>
    </xf>
    <xf numFmtId="0" fontId="6" fillId="0" borderId="23" xfId="0" quotePrefix="1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4" fillId="0" borderId="26" xfId="0" applyNumberFormat="1" applyFont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4" fillId="0" borderId="26" xfId="0" quotePrefix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2" fillId="0" borderId="26" xfId="1" applyFont="1" applyBorder="1" applyAlignment="1" applyProtection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4" fillId="0" borderId="23" xfId="0" quotePrefix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64" fontId="4" fillId="0" borderId="27" xfId="0" applyNumberFormat="1" applyFont="1" applyBorder="1" applyAlignment="1">
      <alignment horizontal="center" vertical="center"/>
    </xf>
    <xf numFmtId="0" fontId="13" fillId="0" borderId="2" xfId="0" quotePrefix="1" applyFont="1" applyBorder="1" applyAlignment="1">
      <alignment horizontal="center" vertical="center" wrapText="1"/>
    </xf>
    <xf numFmtId="164" fontId="4" fillId="0" borderId="23" xfId="0" applyNumberFormat="1" applyFont="1" applyBorder="1" applyAlignment="1">
      <alignment horizontal="center" vertical="center"/>
    </xf>
    <xf numFmtId="0" fontId="6" fillId="0" borderId="29" xfId="0" quotePrefix="1" applyFont="1" applyBorder="1" applyAlignment="1">
      <alignment horizontal="left" vertical="top"/>
    </xf>
    <xf numFmtId="0" fontId="13" fillId="0" borderId="25" xfId="0" quotePrefix="1" applyFont="1" applyBorder="1" applyAlignment="1">
      <alignment horizontal="center" vertical="center"/>
    </xf>
    <xf numFmtId="0" fontId="6" fillId="0" borderId="25" xfId="0" quotePrefix="1" applyFont="1" applyBorder="1" applyAlignment="1">
      <alignment horizontal="center" vertical="center"/>
    </xf>
    <xf numFmtId="0" fontId="2" fillId="4" borderId="25" xfId="1" applyFont="1" applyFill="1" applyBorder="1" applyAlignment="1" applyProtection="1">
      <alignment horizontal="center" vertical="center" wrapText="1"/>
    </xf>
    <xf numFmtId="0" fontId="4" fillId="0" borderId="25" xfId="0" quotePrefix="1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165" fontId="4" fillId="0" borderId="25" xfId="0" applyNumberFormat="1" applyFont="1" applyBorder="1" applyAlignment="1">
      <alignment horizontal="center" vertical="center"/>
    </xf>
    <xf numFmtId="0" fontId="6" fillId="0" borderId="31" xfId="0" quotePrefix="1" applyFont="1" applyBorder="1" applyAlignment="1">
      <alignment horizontal="left" vertical="top"/>
    </xf>
    <xf numFmtId="0" fontId="13" fillId="0" borderId="32" xfId="0" quotePrefix="1" applyFont="1" applyBorder="1" applyAlignment="1">
      <alignment horizontal="center" vertical="center"/>
    </xf>
    <xf numFmtId="0" fontId="6" fillId="0" borderId="32" xfId="0" quotePrefix="1" applyFont="1" applyBorder="1" applyAlignment="1">
      <alignment horizontal="center" vertical="center"/>
    </xf>
    <xf numFmtId="0" fontId="2" fillId="4" borderId="32" xfId="1" applyFont="1" applyFill="1" applyBorder="1" applyAlignment="1" applyProtection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4" fillId="0" borderId="32" xfId="0" quotePrefix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32" xfId="1" applyFont="1" applyBorder="1" applyAlignment="1" applyProtection="1">
      <alignment horizontal="center" vertical="center"/>
    </xf>
    <xf numFmtId="165" fontId="4" fillId="0" borderId="32" xfId="0" applyNumberFormat="1" applyFont="1" applyBorder="1" applyAlignment="1">
      <alignment horizontal="center" vertical="center"/>
    </xf>
    <xf numFmtId="0" fontId="6" fillId="0" borderId="33" xfId="0" quotePrefix="1" applyFont="1" applyBorder="1" applyAlignment="1">
      <alignment horizontal="left" vertical="top"/>
    </xf>
    <xf numFmtId="0" fontId="13" fillId="0" borderId="27" xfId="0" quotePrefix="1" applyFont="1" applyBorder="1" applyAlignment="1">
      <alignment horizontal="center" vertical="center"/>
    </xf>
    <xf numFmtId="0" fontId="6" fillId="0" borderId="27" xfId="0" quotePrefix="1" applyFont="1" applyBorder="1" applyAlignment="1">
      <alignment horizontal="center" vertical="center"/>
    </xf>
    <xf numFmtId="0" fontId="2" fillId="4" borderId="27" xfId="1" applyFont="1" applyFill="1" applyBorder="1" applyAlignment="1" applyProtection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4" fillId="0" borderId="27" xfId="0" quotePrefix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2" fillId="0" borderId="27" xfId="1" applyFont="1" applyBorder="1" applyAlignment="1" applyProtection="1">
      <alignment horizontal="center" vertical="center"/>
    </xf>
    <xf numFmtId="165" fontId="4" fillId="0" borderId="27" xfId="0" applyNumberFormat="1" applyFont="1" applyBorder="1" applyAlignment="1">
      <alignment horizontal="center" vertical="center"/>
    </xf>
    <xf numFmtId="0" fontId="2" fillId="5" borderId="2" xfId="1" applyFont="1" applyFill="1" applyBorder="1" applyAlignment="1" applyProtection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0" borderId="3" xfId="1" applyBorder="1" applyAlignment="1" applyProtection="1">
      <alignment horizontal="center" vertical="center"/>
    </xf>
    <xf numFmtId="0" fontId="6" fillId="5" borderId="31" xfId="0" quotePrefix="1" applyFont="1" applyFill="1" applyBorder="1" applyAlignment="1">
      <alignment horizontal="left" vertical="top"/>
    </xf>
    <xf numFmtId="0" fontId="13" fillId="5" borderId="32" xfId="0" quotePrefix="1" applyFont="1" applyFill="1" applyBorder="1" applyAlignment="1">
      <alignment horizontal="center" vertical="center"/>
    </xf>
    <xf numFmtId="0" fontId="6" fillId="5" borderId="32" xfId="0" quotePrefix="1" applyFont="1" applyFill="1" applyBorder="1" applyAlignment="1">
      <alignment horizontal="center" vertical="center"/>
    </xf>
    <xf numFmtId="0" fontId="2" fillId="0" borderId="32" xfId="1" applyFont="1" applyBorder="1" applyAlignment="1" applyProtection="1">
      <alignment horizontal="center" vertical="center" wrapText="1"/>
    </xf>
    <xf numFmtId="0" fontId="15" fillId="0" borderId="25" xfId="0" quotePrefix="1" applyFont="1" applyBorder="1" applyAlignment="1">
      <alignment horizontal="center" vertical="center" wrapText="1"/>
    </xf>
    <xf numFmtId="0" fontId="1" fillId="0" borderId="25" xfId="1" applyBorder="1" applyAlignment="1" applyProtection="1">
      <alignment horizontal="center" vertical="center"/>
    </xf>
    <xf numFmtId="0" fontId="1" fillId="0" borderId="6" xfId="1" applyBorder="1" applyAlignment="1" applyProtection="1">
      <alignment horizontal="center" vertical="center"/>
    </xf>
    <xf numFmtId="0" fontId="1" fillId="5" borderId="3" xfId="1" applyFill="1" applyBorder="1" applyAlignment="1" applyProtection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wrapText="1"/>
    </xf>
    <xf numFmtId="0" fontId="7" fillId="5" borderId="0" xfId="0" applyFont="1" applyFill="1" applyBorder="1" applyAlignment="1">
      <alignment horizontal="center" wrapText="1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left" vertical="top"/>
    </xf>
    <xf numFmtId="0" fontId="6" fillId="0" borderId="3" xfId="0" quotePrefix="1" applyFont="1" applyBorder="1" applyAlignment="1">
      <alignment horizontal="left" vertical="top"/>
    </xf>
    <xf numFmtId="0" fontId="6" fillId="0" borderId="6" xfId="0" quotePrefix="1" applyFont="1" applyBorder="1" applyAlignment="1">
      <alignment horizontal="left" vertical="top"/>
    </xf>
    <xf numFmtId="0" fontId="5" fillId="0" borderId="8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" fillId="0" borderId="2" xfId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supplier-centers/stackpole-electronics" TargetMode="External"/><Relationship Id="rId21" Type="http://schemas.openxmlformats.org/officeDocument/2006/relationships/hyperlink" Target="https://www.digikey.com/en/supplier-centers/panasonic" TargetMode="External"/><Relationship Id="rId42" Type="http://schemas.openxmlformats.org/officeDocument/2006/relationships/hyperlink" Target="https://lcsc.com/product-detail/Inductors-SMD_TDK-SLF10145T-100M2R5-PF_C96116.html" TargetMode="External"/><Relationship Id="rId47" Type="http://schemas.openxmlformats.org/officeDocument/2006/relationships/hyperlink" Target="https://lcsc.com/product-detail/New-Arrivals_PANASONIC-ERJUP3J101V_C491196.html" TargetMode="External"/><Relationship Id="rId63" Type="http://schemas.openxmlformats.org/officeDocument/2006/relationships/hyperlink" Target="https://lcsc.com/product-detail/Others_YAGEO-RL2010FK-070R05L_C309643.html" TargetMode="External"/><Relationship Id="rId68" Type="http://schemas.openxmlformats.org/officeDocument/2006/relationships/hyperlink" Target="https://lcsc.com/product-detail/PMIC-Power-Distribution-Switches_Vishay-Intertech-SI3865DDV-T1-GE3_C141534.html" TargetMode="External"/><Relationship Id="rId16" Type="http://schemas.openxmlformats.org/officeDocument/2006/relationships/hyperlink" Target="https://www.digikey.com/en/supplier-centers/wurth-electronics" TargetMode="External"/><Relationship Id="rId11" Type="http://schemas.openxmlformats.org/officeDocument/2006/relationships/hyperlink" Target="https://lcsc.com/brand-detail/853.html" TargetMode="External"/><Relationship Id="rId32" Type="http://schemas.openxmlformats.org/officeDocument/2006/relationships/hyperlink" Target="https://www.digikey.com/en/supplier-centers/te-connectivity-amp" TargetMode="External"/><Relationship Id="rId37" Type="http://schemas.openxmlformats.org/officeDocument/2006/relationships/hyperlink" Target="https://lcsc.com/product-detail/Multilayer-Ceramic-Capacitors-MLCC-SMD-SMT_Samsung-Electro-Mechanics-CL10B104KB8NNNL_C913912.html" TargetMode="External"/><Relationship Id="rId53" Type="http://schemas.openxmlformats.org/officeDocument/2006/relationships/hyperlink" Target="https://lcsc.com/product-detail/Wire-To-Board-Wire-To-Wire-Connector_JST-Sales-America-B4B-XH-A-LF-SN_C144395.html" TargetMode="External"/><Relationship Id="rId58" Type="http://schemas.openxmlformats.org/officeDocument/2006/relationships/hyperlink" Target="https://lcsc.com/product-detail/MOSFET_ON-Semiconductor-ON-FDN306P_C154510.html" TargetMode="External"/><Relationship Id="rId74" Type="http://schemas.openxmlformats.org/officeDocument/2006/relationships/hyperlink" Target="https://www.arrow.com/en/products/lt3652eddpbf/analog-devices?utm_campaign=octopart_2020&amp;utm_currency=USD&amp;utm_keyword=LT3652EDD%23PBF&amp;utm_medium=aggregator&amp;utm_content=inv_listing&amp;utm_source=octopart" TargetMode="External"/><Relationship Id="rId79" Type="http://schemas.openxmlformats.org/officeDocument/2006/relationships/hyperlink" Target="https://www.lcsc.com/product-detail/Chip-Resistor-Surface-Mount_PANASONIC-ERA3VEB4700V_C490793.html" TargetMode="External"/><Relationship Id="rId5" Type="http://schemas.openxmlformats.org/officeDocument/2006/relationships/hyperlink" Target="https://lcsc.com/brand-detail/994.html" TargetMode="External"/><Relationship Id="rId61" Type="http://schemas.openxmlformats.org/officeDocument/2006/relationships/hyperlink" Target="https://lcsc.com/product-detail/Chip-Resistor-Surface-Mount_PANASONIC-ERJPA3J822V_C445835.html" TargetMode="External"/><Relationship Id="rId19" Type="http://schemas.openxmlformats.org/officeDocument/2006/relationships/hyperlink" Target="https://www.digikey.com/en/supplier-centers/te-connectivity-amp" TargetMode="External"/><Relationship Id="rId14" Type="http://schemas.openxmlformats.org/officeDocument/2006/relationships/hyperlink" Target="https://www.digikey.com/en/supplier-centers/central-semiconductor" TargetMode="External"/><Relationship Id="rId22" Type="http://schemas.openxmlformats.org/officeDocument/2006/relationships/hyperlink" Target="https://www.digikey.com/en/supplier-centers/vishay-dale" TargetMode="External"/><Relationship Id="rId27" Type="http://schemas.openxmlformats.org/officeDocument/2006/relationships/hyperlink" Target="https://www.digikey.com/en/supplier-centers/texas-instruments" TargetMode="External"/><Relationship Id="rId30" Type="http://schemas.openxmlformats.org/officeDocument/2006/relationships/hyperlink" Target="https://www.digikey.com/en/supplier-centers/analog-devices" TargetMode="External"/><Relationship Id="rId35" Type="http://schemas.openxmlformats.org/officeDocument/2006/relationships/hyperlink" Target="https://lcsc.com/product-detail/Aluminum-Electrolytic-Capacitors-SMD_Nichicon-UWX1E101MCL1GB_C125982.html" TargetMode="External"/><Relationship Id="rId43" Type="http://schemas.openxmlformats.org/officeDocument/2006/relationships/hyperlink" Target="https://lcsc.com/product-detail/Transistors-NPN-PNP_Diodes-Incorporated-MMBT2222A-7-F_C94515.html" TargetMode="External"/><Relationship Id="rId48" Type="http://schemas.openxmlformats.org/officeDocument/2006/relationships/hyperlink" Target="https://lcsc.com/product-detail/Chip-Resistor-Surface-Mount_UNI-ROYAL-Uniroyal-Elec-0603WAF3013T5E_C23026.html" TargetMode="External"/><Relationship Id="rId56" Type="http://schemas.openxmlformats.org/officeDocument/2006/relationships/hyperlink" Target="https://lcsc.com/product-detail/Wire-To-Board-Wire-To-Wire-Connector_JST-Sales-America-B7B-XH-A-LF-SN_C144398.html" TargetMode="External"/><Relationship Id="rId64" Type="http://schemas.openxmlformats.org/officeDocument/2006/relationships/hyperlink" Target="https://lcsc.com/product-detail/Tactile-Switches_Omron-Electronics-B3U-1000P_C231329.html" TargetMode="External"/><Relationship Id="rId69" Type="http://schemas.openxmlformats.org/officeDocument/2006/relationships/hyperlink" Target="https://lcsc.com/product-detail/Multilayer-Ceramic-Capacitors-MLCC-SMD-SMT_YAGEO-CC0603KRX5R8BB225_C309478.html" TargetMode="External"/><Relationship Id="rId77" Type="http://schemas.openxmlformats.org/officeDocument/2006/relationships/hyperlink" Target="https://www.lcsc.com/product-detail/Light-Emitting-Diodes-LED_Everlight-Elec-17-21-BHC-XL2M2TY-3T_C72035.html" TargetMode="External"/><Relationship Id="rId8" Type="http://schemas.openxmlformats.org/officeDocument/2006/relationships/hyperlink" Target="https://lcsc.com/brand-detail/396.html" TargetMode="External"/><Relationship Id="rId51" Type="http://schemas.openxmlformats.org/officeDocument/2006/relationships/hyperlink" Target="https://lcsc.com/product-detail/Chip-Resistor-Surface-Mount_FH-Guangdong-Fenghua-Advanced-Tech-RS-03K5101FT_C156350.html" TargetMode="External"/><Relationship Id="rId72" Type="http://schemas.openxmlformats.org/officeDocument/2006/relationships/hyperlink" Target="https://www.aliexpress.com/item/4000833038506.html" TargetMode="External"/><Relationship Id="rId80" Type="http://schemas.openxmlformats.org/officeDocument/2006/relationships/hyperlink" Target="https://www.aliexpress.com/item/4000994283828.html?spm=a2g0o.productlist.0.0.445f4bc5HcABNp&amp;algo_pvid=971d23f6-231a-41ea-88b0-40939e332c80&amp;algo_exp_id=971d23f6-231a-41ea-88b0-40939e332c80-0&amp;pdp_ext_f=%7B%22sku_id%22%3A%2210000013253064390%22%7D" TargetMode="External"/><Relationship Id="rId3" Type="http://schemas.openxmlformats.org/officeDocument/2006/relationships/hyperlink" Target="https://lcsc.com/brand-detail/392.html" TargetMode="External"/><Relationship Id="rId12" Type="http://schemas.openxmlformats.org/officeDocument/2006/relationships/hyperlink" Target="https://lcsc.com/brand-detail/109.html" TargetMode="External"/><Relationship Id="rId17" Type="http://schemas.openxmlformats.org/officeDocument/2006/relationships/hyperlink" Target="https://lcsc.com/brand-detail/296.html" TargetMode="External"/><Relationship Id="rId25" Type="http://schemas.openxmlformats.org/officeDocument/2006/relationships/hyperlink" Target="https://www.digikey.com/en/supplier-centers/yageo" TargetMode="External"/><Relationship Id="rId33" Type="http://schemas.openxmlformats.org/officeDocument/2006/relationships/hyperlink" Target="https://lcsc.com/brand-detail/877.html" TargetMode="External"/><Relationship Id="rId38" Type="http://schemas.openxmlformats.org/officeDocument/2006/relationships/hyperlink" Target="https://lcsc.com/product-detail/Multilayer-Ceramic-Capacitors-MLCC-SMD-SMT_Samsung-Electro-Mechanics-CL10A105KA8NNNC_C5673.html" TargetMode="External"/><Relationship Id="rId46" Type="http://schemas.openxmlformats.org/officeDocument/2006/relationships/hyperlink" Target="https://lcsc.com/product-detail/Chip-Resistor-Surface-Mount_PANASONIC-ERJPB3B1002V_C161787.html" TargetMode="External"/><Relationship Id="rId59" Type="http://schemas.openxmlformats.org/officeDocument/2006/relationships/hyperlink" Target="https://lcsc.com/product-detail/Chip-Resistor-Surface-Mount_YAGEO-AC0603JR-07470KL_C144601.html" TargetMode="External"/><Relationship Id="rId67" Type="http://schemas.openxmlformats.org/officeDocument/2006/relationships/hyperlink" Target="https://lcsc.com/product-detail/Analog-To-Digital-Converters-ADCs_Avia-Semicon-Xiamen-HX711_C43656.html" TargetMode="External"/><Relationship Id="rId20" Type="http://schemas.openxmlformats.org/officeDocument/2006/relationships/hyperlink" Target="https://www.digikey.com/en/supplier-centers/rohm-semi" TargetMode="External"/><Relationship Id="rId41" Type="http://schemas.openxmlformats.org/officeDocument/2006/relationships/hyperlink" Target="https://lcsc.com/product-detail/Uncategorized_Yongyu-Photoelectric-SZYY0402G_C434446.html" TargetMode="External"/><Relationship Id="rId54" Type="http://schemas.openxmlformats.org/officeDocument/2006/relationships/hyperlink" Target="https://lcsc.com/product-detail/Wire-To-Board-Wire-To-Wire-Connector_JST-Sales-America-B3B-XH-A-LF-SN_C144394.html" TargetMode="External"/><Relationship Id="rId62" Type="http://schemas.openxmlformats.org/officeDocument/2006/relationships/hyperlink" Target="https://lcsc.com/product-detail/New-Arrivals_PANASONIC-ERJUP3J104V_C491207.html" TargetMode="External"/><Relationship Id="rId70" Type="http://schemas.openxmlformats.org/officeDocument/2006/relationships/hyperlink" Target="https://lcsc.com/product-detail/Schottky-Barrier-Diodes-SBD_DIODES_B340A-13-F_B340A-13-F_C85098.html" TargetMode="External"/><Relationship Id="rId75" Type="http://schemas.openxmlformats.org/officeDocument/2006/relationships/hyperlink" Target="https://italian.alibaba.com/product-detail/bd48k50g-tl-rohs-ic-detector-volt-5-0v-od-ssop3-1600161321781.html" TargetMode="External"/><Relationship Id="rId1" Type="http://schemas.openxmlformats.org/officeDocument/2006/relationships/hyperlink" Target="https://lcsc.com/brand-detail/254.html" TargetMode="External"/><Relationship Id="rId6" Type="http://schemas.openxmlformats.org/officeDocument/2006/relationships/hyperlink" Target="https://lcsc.com/brand-detail/296.html" TargetMode="External"/><Relationship Id="rId15" Type="http://schemas.openxmlformats.org/officeDocument/2006/relationships/hyperlink" Target="https://www.digikey.com/en/supplier-centers/sunled" TargetMode="External"/><Relationship Id="rId23" Type="http://schemas.openxmlformats.org/officeDocument/2006/relationships/hyperlink" Target="https://www.digikey.com/en/supplier-centers/vishay-dale" TargetMode="External"/><Relationship Id="rId28" Type="http://schemas.openxmlformats.org/officeDocument/2006/relationships/hyperlink" Target="https://www.digikey.com/en/supplier-centers/stmicroelectronics" TargetMode="External"/><Relationship Id="rId36" Type="http://schemas.openxmlformats.org/officeDocument/2006/relationships/hyperlink" Target="https://lcsc.com/product-detail/Multilayer-Ceramic-Capacitors-MLCC-SMD-SMT_Samsung-Electro-Mechanics-CL10A475KA8NQNC_C69335.html" TargetMode="External"/><Relationship Id="rId49" Type="http://schemas.openxmlformats.org/officeDocument/2006/relationships/hyperlink" Target="https://lcsc.com/product-detail/Chip-Resistor-Surface-Mount_UNI-ROYAL-Uniroyal-Elec-0603WAF5363T5E_C23200.html" TargetMode="External"/><Relationship Id="rId57" Type="http://schemas.openxmlformats.org/officeDocument/2006/relationships/hyperlink" Target="https://lcsc.com/product-detail/Logic-Buffers-Drivers-Receivers-Transceivers_Texas-Instruments_SN74LV1T34DBVR_Texas-Instruments-Texas-Instruments-SN74LV1T34DBVR_C100024.html" TargetMode="External"/><Relationship Id="rId10" Type="http://schemas.openxmlformats.org/officeDocument/2006/relationships/hyperlink" Target="https://lcsc.com/brand-detail/100.html" TargetMode="External"/><Relationship Id="rId31" Type="http://schemas.openxmlformats.org/officeDocument/2006/relationships/hyperlink" Target="https://lcsc.com/brand-detail/396.html" TargetMode="External"/><Relationship Id="rId44" Type="http://schemas.openxmlformats.org/officeDocument/2006/relationships/hyperlink" Target="https://lcsc.com/product-detail/Transistors-NPN-PNP_Nexperia-PMBT4403-215_C75556.html" TargetMode="External"/><Relationship Id="rId52" Type="http://schemas.openxmlformats.org/officeDocument/2006/relationships/hyperlink" Target="https://lcsc.com/product-detail/Wire-To-Board-Wire-To-Wire-Connector_JST-Sales-America-B2B-XH-A-LF-SN_C158012.html" TargetMode="External"/><Relationship Id="rId60" Type="http://schemas.openxmlformats.org/officeDocument/2006/relationships/hyperlink" Target="https://lcsc.com/product-detail/Chip-Resistor-Surface-Mount_20KR-2002-1_C105575.html" TargetMode="External"/><Relationship Id="rId65" Type="http://schemas.openxmlformats.org/officeDocument/2006/relationships/hyperlink" Target="https://lcsc.com/product-detail/WIFI-Modules_Espressif-Systems-ESP32-WROOM-32D-8MB_C529577.html" TargetMode="External"/><Relationship Id="rId73" Type="http://schemas.openxmlformats.org/officeDocument/2006/relationships/hyperlink" Target="https://www.alibaba.com/product-detail/Hot-sale-LDF33DT-TR-IC-REG_1600263664091.html" TargetMode="External"/><Relationship Id="rId78" Type="http://schemas.openxmlformats.org/officeDocument/2006/relationships/hyperlink" Target="https://www.lcsc.com/product-detail/Light-Emitting-Diodes-LED_Lite-On-LTST-C171KGKT_C98224.html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https://lcsc.com/brand-detail/254.html" TargetMode="External"/><Relationship Id="rId9" Type="http://schemas.openxmlformats.org/officeDocument/2006/relationships/hyperlink" Target="https://lcsc.com/brand-detail/756.html" TargetMode="External"/><Relationship Id="rId13" Type="http://schemas.openxmlformats.org/officeDocument/2006/relationships/hyperlink" Target="https://lcsc.com/brand-detail/994.html" TargetMode="External"/><Relationship Id="rId18" Type="http://schemas.openxmlformats.org/officeDocument/2006/relationships/hyperlink" Target="https://www.digikey.com/en/supplier-centers/tdk" TargetMode="External"/><Relationship Id="rId39" Type="http://schemas.openxmlformats.org/officeDocument/2006/relationships/hyperlink" Target="https://lcsc.com/product-detail/Aluminum-Electrolytic-Capacitors-SMD_Lelon-VZH471M1ETR-1010_C249933.html" TargetMode="External"/><Relationship Id="rId34" Type="http://schemas.openxmlformats.org/officeDocument/2006/relationships/hyperlink" Target="https://lcsc.com/product-detail/Multilayer-Ceramic-Capacitors-MLCC-SMD-SMT_Taiyo-Yuden-TMK107BBJ106MA-T_C386081.html" TargetMode="External"/><Relationship Id="rId50" Type="http://schemas.openxmlformats.org/officeDocument/2006/relationships/hyperlink" Target="https://lcsc.com/product-detail/Chip-Resistor-Surface-Mount_UNI-ROYAL-Uniroyal-Elec-0603WAF4533T5E_C25818.html" TargetMode="External"/><Relationship Id="rId55" Type="http://schemas.openxmlformats.org/officeDocument/2006/relationships/hyperlink" Target="https://lcsc.com/product-detail/USB-Connectors_TE-Connectivity-2305018-2_C498674.html" TargetMode="External"/><Relationship Id="rId76" Type="http://schemas.openxmlformats.org/officeDocument/2006/relationships/hyperlink" Target="https://www.lcsc.com/product-detail/Light-Emitting-Diodes-LED_SMD-yellow_C125091.html" TargetMode="External"/><Relationship Id="rId7" Type="http://schemas.openxmlformats.org/officeDocument/2006/relationships/hyperlink" Target="https://lcsc.com/brand-detail/94.html" TargetMode="External"/><Relationship Id="rId71" Type="http://schemas.openxmlformats.org/officeDocument/2006/relationships/hyperlink" Target="https://lcsc.com/product-detail/Schottky-Barrier-Diodes-SBD_MDD-Microdiode-Electronics-SS54B_C32513.html" TargetMode="External"/><Relationship Id="rId2" Type="http://schemas.openxmlformats.org/officeDocument/2006/relationships/hyperlink" Target="https://lcsc.com/brand-detail/254.html" TargetMode="External"/><Relationship Id="rId29" Type="http://schemas.openxmlformats.org/officeDocument/2006/relationships/hyperlink" Target="https://lcsc.com/brand-detail/853.html" TargetMode="External"/><Relationship Id="rId24" Type="http://schemas.openxmlformats.org/officeDocument/2006/relationships/hyperlink" Target="https://www.digikey.com/en/supplier-centers/vishay-dale" TargetMode="External"/><Relationship Id="rId40" Type="http://schemas.openxmlformats.org/officeDocument/2006/relationships/hyperlink" Target="https://lcsc.com/product-detail/Diodes-General-Purpose_DIODES_S1A-13-F_S1A-13-F_C150735.html" TargetMode="External"/><Relationship Id="rId45" Type="http://schemas.openxmlformats.org/officeDocument/2006/relationships/hyperlink" Target="https://lcsc.com/product-detail/Chip-Resistor-Surface-Mount_YAGEO-RC0603FR-0754K9L_C185321.html" TargetMode="External"/><Relationship Id="rId66" Type="http://schemas.openxmlformats.org/officeDocument/2006/relationships/hyperlink" Target="https://lcsc.com/product-detail/Power-Management-Specialized-PMIC_Analog-Devices_LTC4412IS6-TRPBF_Analog-Devices-ADI-LINEAR-LTC4412IS6-TRPBF_C52130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topLeftCell="E37" zoomScale="85" zoomScaleNormal="85" workbookViewId="0">
      <selection activeCell="F17" sqref="F17"/>
    </sheetView>
  </sheetViews>
  <sheetFormatPr defaultRowHeight="15" x14ac:dyDescent="0.25"/>
  <cols>
    <col min="1" max="1" width="6.140625" bestFit="1" customWidth="1"/>
    <col min="2" max="2" width="12.28515625" bestFit="1" customWidth="1"/>
    <col min="3" max="3" width="30.85546875" bestFit="1" customWidth="1"/>
    <col min="4" max="4" width="41" bestFit="1" customWidth="1"/>
    <col min="5" max="5" width="20.28515625" bestFit="1" customWidth="1"/>
    <col min="6" max="6" width="25.140625" bestFit="1" customWidth="1"/>
    <col min="7" max="7" width="25.28515625" bestFit="1" customWidth="1"/>
    <col min="8" max="8" width="16" bestFit="1" customWidth="1"/>
    <col min="9" max="9" width="20.28515625" bestFit="1" customWidth="1"/>
    <col min="10" max="10" width="11.5703125" bestFit="1" customWidth="1"/>
    <col min="11" max="11" width="11.5703125" customWidth="1"/>
    <col min="12" max="12" width="19.42578125" bestFit="1" customWidth="1"/>
    <col min="13" max="13" width="18.28515625" bestFit="1" customWidth="1"/>
    <col min="14" max="14" width="11.7109375" bestFit="1" customWidth="1"/>
    <col min="15" max="15" width="11.42578125" bestFit="1" customWidth="1"/>
    <col min="16" max="16" width="12.140625" bestFit="1" customWidth="1"/>
    <col min="17" max="17" width="18.5703125" bestFit="1" customWidth="1"/>
    <col min="18" max="18" width="14" bestFit="1" customWidth="1"/>
    <col min="19" max="19" width="44.85546875" bestFit="1" customWidth="1"/>
  </cols>
  <sheetData>
    <row r="1" spans="1:19" ht="16.5" thickBot="1" x14ac:dyDescent="0.3">
      <c r="A1" s="137" t="s">
        <v>157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9"/>
    </row>
    <row r="2" spans="1:19" ht="15.75" thickBot="1" x14ac:dyDescent="0.3">
      <c r="A2" s="54" t="s">
        <v>0</v>
      </c>
      <c r="B2" s="55" t="s">
        <v>1</v>
      </c>
      <c r="C2" s="55" t="s">
        <v>2</v>
      </c>
      <c r="D2" s="55" t="s">
        <v>3</v>
      </c>
      <c r="E2" s="55" t="s">
        <v>4</v>
      </c>
      <c r="F2" s="55" t="s">
        <v>5</v>
      </c>
      <c r="G2" s="55" t="s">
        <v>6</v>
      </c>
      <c r="H2" s="55" t="s">
        <v>213</v>
      </c>
      <c r="I2" s="55" t="s">
        <v>7</v>
      </c>
      <c r="J2" s="55" t="s">
        <v>8</v>
      </c>
      <c r="K2" s="55" t="s">
        <v>221</v>
      </c>
      <c r="L2" s="55" t="s">
        <v>9</v>
      </c>
      <c r="M2" s="55" t="s">
        <v>264</v>
      </c>
      <c r="N2" s="55" t="s">
        <v>222</v>
      </c>
      <c r="O2" s="55" t="s">
        <v>10</v>
      </c>
      <c r="P2" s="55" t="s">
        <v>11</v>
      </c>
      <c r="Q2" s="55" t="s">
        <v>12</v>
      </c>
      <c r="R2" s="55" t="s">
        <v>144</v>
      </c>
      <c r="S2" s="55" t="s">
        <v>145</v>
      </c>
    </row>
    <row r="3" spans="1:19" ht="26.25" thickBot="1" x14ac:dyDescent="0.3">
      <c r="A3" s="28">
        <v>1</v>
      </c>
      <c r="B3" s="147" t="s">
        <v>207</v>
      </c>
      <c r="C3" s="73" t="s">
        <v>13</v>
      </c>
      <c r="D3" s="92" t="s">
        <v>283</v>
      </c>
      <c r="E3" s="14" t="s">
        <v>14</v>
      </c>
      <c r="F3" s="14" t="s">
        <v>15</v>
      </c>
      <c r="G3" s="15" t="s">
        <v>16</v>
      </c>
      <c r="H3" s="75" t="s">
        <v>214</v>
      </c>
      <c r="I3" s="46" t="s">
        <v>161</v>
      </c>
      <c r="J3" s="14" t="s">
        <v>125</v>
      </c>
      <c r="K3" s="16">
        <v>50</v>
      </c>
      <c r="L3" s="17">
        <v>13</v>
      </c>
      <c r="M3" s="16">
        <v>100</v>
      </c>
      <c r="N3" s="15" t="s">
        <v>223</v>
      </c>
      <c r="O3" s="18">
        <v>6.8999999999999999E-3</v>
      </c>
      <c r="P3" s="80">
        <f>O3*K3</f>
        <v>0.34499999999999997</v>
      </c>
      <c r="Q3" s="18">
        <v>6.8999999999999999E-3</v>
      </c>
      <c r="R3" s="19">
        <f>Q3*M3</f>
        <v>0.69</v>
      </c>
      <c r="S3" s="20"/>
    </row>
    <row r="4" spans="1:19" ht="15.75" thickBot="1" x14ac:dyDescent="0.3">
      <c r="A4" s="28">
        <v>2</v>
      </c>
      <c r="B4" s="148"/>
      <c r="C4" s="26" t="s">
        <v>17</v>
      </c>
      <c r="D4" s="51" t="s">
        <v>284</v>
      </c>
      <c r="E4" s="4" t="s">
        <v>14</v>
      </c>
      <c r="F4" s="4" t="s">
        <v>18</v>
      </c>
      <c r="G4" s="1" t="s">
        <v>16</v>
      </c>
      <c r="H4" s="4" t="s">
        <v>215</v>
      </c>
      <c r="I4" s="47" t="s">
        <v>161</v>
      </c>
      <c r="J4" s="4" t="s">
        <v>126</v>
      </c>
      <c r="K4" s="5">
        <v>50</v>
      </c>
      <c r="L4" s="6">
        <v>7</v>
      </c>
      <c r="M4" s="5">
        <v>50</v>
      </c>
      <c r="N4" s="1" t="s">
        <v>223</v>
      </c>
      <c r="O4" s="12">
        <v>6.4999999999999997E-3</v>
      </c>
      <c r="P4" s="11">
        <f>O4*K4</f>
        <v>0.32500000000000001</v>
      </c>
      <c r="Q4" s="12">
        <v>6.4999999999999997E-3</v>
      </c>
      <c r="R4" s="19">
        <f t="shared" ref="R4:R49" si="0">Q4*M4</f>
        <v>0.32500000000000001</v>
      </c>
      <c r="S4" s="7"/>
    </row>
    <row r="5" spans="1:19" ht="15.75" thickBot="1" x14ac:dyDescent="0.3">
      <c r="A5" s="28">
        <v>3</v>
      </c>
      <c r="B5" s="148"/>
      <c r="C5" s="26" t="s">
        <v>19</v>
      </c>
      <c r="D5" s="51" t="s">
        <v>285</v>
      </c>
      <c r="E5" s="4" t="s">
        <v>14</v>
      </c>
      <c r="F5" s="4" t="s">
        <v>20</v>
      </c>
      <c r="G5" s="2" t="s">
        <v>21</v>
      </c>
      <c r="H5" s="4" t="s">
        <v>216</v>
      </c>
      <c r="I5" s="47" t="s">
        <v>161</v>
      </c>
      <c r="J5" s="4" t="s">
        <v>127</v>
      </c>
      <c r="K5" s="5">
        <v>10</v>
      </c>
      <c r="L5" s="6">
        <v>6</v>
      </c>
      <c r="M5" s="5">
        <v>50</v>
      </c>
      <c r="N5" s="1" t="s">
        <v>223</v>
      </c>
      <c r="O5" s="12">
        <v>5.4699999999999999E-2</v>
      </c>
      <c r="P5" s="11">
        <f>O5*K5</f>
        <v>0.54699999999999993</v>
      </c>
      <c r="Q5" s="12">
        <v>5.1200000000000002E-2</v>
      </c>
      <c r="R5" s="19">
        <f t="shared" si="0"/>
        <v>2.56</v>
      </c>
      <c r="S5" s="7"/>
    </row>
    <row r="6" spans="1:19" ht="15.75" thickBot="1" x14ac:dyDescent="0.3">
      <c r="A6" s="28">
        <v>4</v>
      </c>
      <c r="B6" s="148"/>
      <c r="C6" s="26" t="s">
        <v>22</v>
      </c>
      <c r="D6" s="51" t="s">
        <v>23</v>
      </c>
      <c r="E6" s="4" t="s">
        <v>14</v>
      </c>
      <c r="F6" s="4" t="s">
        <v>24</v>
      </c>
      <c r="G6" s="2" t="s">
        <v>16</v>
      </c>
      <c r="H6" s="4" t="s">
        <v>217</v>
      </c>
      <c r="I6" s="47" t="s">
        <v>161</v>
      </c>
      <c r="J6" s="4" t="s">
        <v>128</v>
      </c>
      <c r="K6" s="5">
        <v>20</v>
      </c>
      <c r="L6" s="6">
        <v>2</v>
      </c>
      <c r="M6" s="5">
        <f t="shared" ref="M6:M44" si="1">L6*5</f>
        <v>10</v>
      </c>
      <c r="N6" s="1" t="s">
        <v>223</v>
      </c>
      <c r="O6" s="12">
        <v>2.5000000000000001E-2</v>
      </c>
      <c r="P6" s="11">
        <f>O6*K6</f>
        <v>0.5</v>
      </c>
      <c r="Q6" s="12">
        <v>2.5000000000000001E-2</v>
      </c>
      <c r="R6" s="19">
        <f t="shared" si="0"/>
        <v>0.25</v>
      </c>
      <c r="S6" s="7"/>
    </row>
    <row r="7" spans="1:19" ht="15.75" thickBot="1" x14ac:dyDescent="0.3">
      <c r="A7" s="28">
        <v>5</v>
      </c>
      <c r="B7" s="148"/>
      <c r="C7" s="26" t="s">
        <v>25</v>
      </c>
      <c r="D7" s="51" t="s">
        <v>279</v>
      </c>
      <c r="E7" s="4" t="s">
        <v>162</v>
      </c>
      <c r="F7" s="4" t="s">
        <v>26</v>
      </c>
      <c r="G7" s="2" t="s">
        <v>27</v>
      </c>
      <c r="H7" s="4" t="s">
        <v>218</v>
      </c>
      <c r="I7" s="47" t="s">
        <v>161</v>
      </c>
      <c r="J7" s="4" t="s">
        <v>129</v>
      </c>
      <c r="K7" s="5">
        <v>5</v>
      </c>
      <c r="L7" s="6">
        <v>2</v>
      </c>
      <c r="M7" s="5">
        <v>10</v>
      </c>
      <c r="N7" s="1" t="s">
        <v>223</v>
      </c>
      <c r="O7" s="12">
        <v>0.15359999999999999</v>
      </c>
      <c r="P7" s="11">
        <f t="shared" ref="P7:P49" si="2">O7*K7</f>
        <v>0.7679999999999999</v>
      </c>
      <c r="Q7" s="12">
        <v>0.15359999999999999</v>
      </c>
      <c r="R7" s="19">
        <f t="shared" si="0"/>
        <v>1.5359999999999998</v>
      </c>
      <c r="S7" s="7"/>
    </row>
    <row r="8" spans="1:19" ht="26.25" thickBot="1" x14ac:dyDescent="0.3">
      <c r="A8" s="28">
        <v>6</v>
      </c>
      <c r="B8" s="148"/>
      <c r="C8" s="34" t="s">
        <v>28</v>
      </c>
      <c r="D8" s="52" t="s">
        <v>29</v>
      </c>
      <c r="E8" s="35" t="s">
        <v>162</v>
      </c>
      <c r="F8" s="35" t="s">
        <v>30</v>
      </c>
      <c r="G8" s="2" t="s">
        <v>27</v>
      </c>
      <c r="H8" s="4" t="s">
        <v>219</v>
      </c>
      <c r="I8" s="5" t="s">
        <v>220</v>
      </c>
      <c r="J8" s="4" t="s">
        <v>130</v>
      </c>
      <c r="K8" s="5">
        <v>1</v>
      </c>
      <c r="L8" s="6">
        <v>2</v>
      </c>
      <c r="M8" s="5">
        <v>12</v>
      </c>
      <c r="N8" s="1" t="s">
        <v>223</v>
      </c>
      <c r="O8" s="12">
        <v>0.2046</v>
      </c>
      <c r="P8" s="11">
        <f>O8*L8</f>
        <v>0.40920000000000001</v>
      </c>
      <c r="Q8" s="12">
        <v>0.16300000000000001</v>
      </c>
      <c r="R8" s="19">
        <f t="shared" si="0"/>
        <v>1.956</v>
      </c>
      <c r="S8" s="136" t="s">
        <v>281</v>
      </c>
    </row>
    <row r="9" spans="1:19" ht="15.75" thickBot="1" x14ac:dyDescent="0.3">
      <c r="A9" s="28">
        <v>7</v>
      </c>
      <c r="B9" s="148"/>
      <c r="C9" s="128" t="s">
        <v>266</v>
      </c>
      <c r="D9" s="129" t="s">
        <v>286</v>
      </c>
      <c r="E9" s="130" t="s">
        <v>14</v>
      </c>
      <c r="F9" s="130" t="s">
        <v>267</v>
      </c>
      <c r="G9" s="131" t="s">
        <v>153</v>
      </c>
      <c r="H9" s="4" t="s">
        <v>268</v>
      </c>
      <c r="I9" s="47" t="s">
        <v>161</v>
      </c>
      <c r="J9" s="103" t="s">
        <v>269</v>
      </c>
      <c r="K9" s="5">
        <v>20</v>
      </c>
      <c r="L9" s="6">
        <v>1</v>
      </c>
      <c r="M9" s="5">
        <v>20</v>
      </c>
      <c r="N9" s="1" t="s">
        <v>223</v>
      </c>
      <c r="O9" s="12">
        <v>2.5399999999999999E-2</v>
      </c>
      <c r="P9" s="11">
        <f>O9*K9</f>
        <v>0.50800000000000001</v>
      </c>
      <c r="Q9" s="12">
        <v>2.5399999999999999E-2</v>
      </c>
      <c r="R9" s="19">
        <f t="shared" si="0"/>
        <v>0.50800000000000001</v>
      </c>
      <c r="S9" s="121"/>
    </row>
    <row r="10" spans="1:19" ht="15.75" thickBot="1" x14ac:dyDescent="0.3">
      <c r="A10" s="28">
        <v>8</v>
      </c>
      <c r="B10" s="147" t="s">
        <v>31</v>
      </c>
      <c r="C10" s="25" t="s">
        <v>32</v>
      </c>
      <c r="D10" s="50" t="s">
        <v>33</v>
      </c>
      <c r="E10" s="14" t="s">
        <v>34</v>
      </c>
      <c r="F10" s="14" t="s">
        <v>35</v>
      </c>
      <c r="G10" s="15" t="s">
        <v>146</v>
      </c>
      <c r="H10" s="17" t="s">
        <v>270</v>
      </c>
      <c r="I10" s="46" t="s">
        <v>271</v>
      </c>
      <c r="J10" s="14" t="s">
        <v>158</v>
      </c>
      <c r="K10" s="16">
        <v>5</v>
      </c>
      <c r="L10" s="17">
        <v>2</v>
      </c>
      <c r="M10" s="16">
        <v>15</v>
      </c>
      <c r="N10" s="1" t="s">
        <v>223</v>
      </c>
      <c r="O10" s="18">
        <v>8.5800000000000001E-2</v>
      </c>
      <c r="P10" s="80">
        <f>O10*K10</f>
        <v>0.42899999999999999</v>
      </c>
      <c r="Q10" s="18">
        <v>8.5800000000000001E-2</v>
      </c>
      <c r="R10" s="19">
        <f t="shared" si="0"/>
        <v>1.2869999999999999</v>
      </c>
      <c r="S10" s="126" t="s">
        <v>282</v>
      </c>
    </row>
    <row r="11" spans="1:19" ht="15.75" thickBot="1" x14ac:dyDescent="0.3">
      <c r="A11" s="28">
        <v>9</v>
      </c>
      <c r="B11" s="148"/>
      <c r="C11" s="26" t="s">
        <v>169</v>
      </c>
      <c r="D11" s="51" t="s">
        <v>36</v>
      </c>
      <c r="E11" s="4" t="s">
        <v>37</v>
      </c>
      <c r="F11" s="4" t="s">
        <v>38</v>
      </c>
      <c r="G11" s="2" t="s">
        <v>39</v>
      </c>
      <c r="H11" s="6" t="s">
        <v>224</v>
      </c>
      <c r="I11" s="47" t="s">
        <v>161</v>
      </c>
      <c r="J11" s="4" t="s">
        <v>158</v>
      </c>
      <c r="K11" s="5">
        <v>10</v>
      </c>
      <c r="L11" s="6">
        <v>1</v>
      </c>
      <c r="M11" s="5">
        <v>10</v>
      </c>
      <c r="N11" s="1" t="s">
        <v>223</v>
      </c>
      <c r="O11" s="12">
        <v>4.1799999999999997E-2</v>
      </c>
      <c r="P11" s="11">
        <f t="shared" si="2"/>
        <v>0.41799999999999998</v>
      </c>
      <c r="Q11" s="12">
        <v>4.1799999999999997E-2</v>
      </c>
      <c r="R11" s="19">
        <f t="shared" si="0"/>
        <v>0.41799999999999998</v>
      </c>
      <c r="S11" s="7"/>
    </row>
    <row r="12" spans="1:19" ht="15.75" thickBot="1" x14ac:dyDescent="0.3">
      <c r="A12" s="28">
        <v>10</v>
      </c>
      <c r="B12" s="148"/>
      <c r="C12" s="26" t="s">
        <v>40</v>
      </c>
      <c r="D12" s="51" t="s">
        <v>41</v>
      </c>
      <c r="E12" s="4" t="s">
        <v>42</v>
      </c>
      <c r="F12" s="4" t="s">
        <v>43</v>
      </c>
      <c r="G12" s="3" t="s">
        <v>147</v>
      </c>
      <c r="H12" s="6" t="s">
        <v>225</v>
      </c>
      <c r="I12" s="47" t="s">
        <v>226</v>
      </c>
      <c r="J12" s="4" t="s">
        <v>158</v>
      </c>
      <c r="K12" s="5">
        <v>50</v>
      </c>
      <c r="L12" s="6">
        <v>2</v>
      </c>
      <c r="M12" s="5">
        <v>50</v>
      </c>
      <c r="N12" s="1" t="s">
        <v>223</v>
      </c>
      <c r="O12" s="12">
        <v>1.4800000000000001E-2</v>
      </c>
      <c r="P12" s="11">
        <f t="shared" si="2"/>
        <v>0.74</v>
      </c>
      <c r="Q12" s="12">
        <v>1.4800000000000001E-2</v>
      </c>
      <c r="R12" s="19">
        <f t="shared" si="0"/>
        <v>0.74</v>
      </c>
      <c r="S12" s="7"/>
    </row>
    <row r="13" spans="1:19" ht="15.75" thickBot="1" x14ac:dyDescent="0.3">
      <c r="A13" s="28">
        <v>11</v>
      </c>
      <c r="B13" s="148"/>
      <c r="C13" s="101" t="s">
        <v>170</v>
      </c>
      <c r="D13" s="102" t="s">
        <v>171</v>
      </c>
      <c r="E13" s="103" t="s">
        <v>172</v>
      </c>
      <c r="F13" s="103" t="s">
        <v>173</v>
      </c>
      <c r="G13" s="104" t="s">
        <v>174</v>
      </c>
      <c r="H13" s="105" t="s">
        <v>272</v>
      </c>
      <c r="I13" s="106" t="s">
        <v>273</v>
      </c>
      <c r="J13" s="103" t="s">
        <v>158</v>
      </c>
      <c r="K13" s="112">
        <v>10</v>
      </c>
      <c r="L13" s="114">
        <v>1</v>
      </c>
      <c r="M13" s="116">
        <f t="shared" si="1"/>
        <v>5</v>
      </c>
      <c r="N13" s="108" t="s">
        <v>223</v>
      </c>
      <c r="O13" s="109">
        <v>7.8299999999999995E-2</v>
      </c>
      <c r="P13" s="91">
        <f t="shared" si="2"/>
        <v>0.78299999999999992</v>
      </c>
      <c r="Q13" s="109">
        <v>7.8299999999999995E-2</v>
      </c>
      <c r="R13" s="19">
        <f t="shared" si="0"/>
        <v>0.39149999999999996</v>
      </c>
      <c r="S13" s="149" t="s">
        <v>265</v>
      </c>
    </row>
    <row r="14" spans="1:19" ht="15.75" thickBot="1" x14ac:dyDescent="0.3">
      <c r="A14" s="28">
        <v>12</v>
      </c>
      <c r="B14" s="154" t="s">
        <v>299</v>
      </c>
      <c r="C14" s="150" t="s">
        <v>287</v>
      </c>
      <c r="D14" s="50" t="s">
        <v>288</v>
      </c>
      <c r="E14" s="14" t="s">
        <v>295</v>
      </c>
      <c r="F14" s="14" t="s">
        <v>289</v>
      </c>
      <c r="G14" s="23" t="s">
        <v>297</v>
      </c>
      <c r="H14" s="17" t="s">
        <v>300</v>
      </c>
      <c r="I14" s="46" t="s">
        <v>161</v>
      </c>
      <c r="J14" s="14" t="s">
        <v>158</v>
      </c>
      <c r="K14" s="14">
        <v>20</v>
      </c>
      <c r="L14" s="17">
        <v>1</v>
      </c>
      <c r="M14" s="16">
        <v>20</v>
      </c>
      <c r="N14" s="157" t="s">
        <v>223</v>
      </c>
      <c r="O14" s="18">
        <v>2.2800000000000001E-2</v>
      </c>
      <c r="P14" s="91">
        <f>O14*K14</f>
        <v>0.45600000000000002</v>
      </c>
      <c r="Q14" s="18">
        <v>2.2800000000000001E-2</v>
      </c>
      <c r="R14" s="19">
        <f t="shared" si="0"/>
        <v>0.45600000000000002</v>
      </c>
      <c r="S14" s="126"/>
    </row>
    <row r="15" spans="1:19" ht="15.75" thickBot="1" x14ac:dyDescent="0.3">
      <c r="A15" s="28">
        <v>13</v>
      </c>
      <c r="B15" s="155"/>
      <c r="C15" s="151" t="s">
        <v>290</v>
      </c>
      <c r="D15" s="51" t="s">
        <v>291</v>
      </c>
      <c r="E15" s="4" t="s">
        <v>295</v>
      </c>
      <c r="F15" s="4" t="s">
        <v>292</v>
      </c>
      <c r="G15" s="3" t="s">
        <v>298</v>
      </c>
      <c r="H15" s="6" t="s">
        <v>301</v>
      </c>
      <c r="I15" s="47" t="s">
        <v>161</v>
      </c>
      <c r="J15" s="4" t="s">
        <v>158</v>
      </c>
      <c r="K15" s="4">
        <v>20</v>
      </c>
      <c r="L15" s="6">
        <v>1</v>
      </c>
      <c r="M15" s="5">
        <v>20</v>
      </c>
      <c r="N15" s="157" t="s">
        <v>223</v>
      </c>
      <c r="O15" s="12">
        <v>2.7900000000000001E-2</v>
      </c>
      <c r="P15" s="91">
        <f t="shared" si="2"/>
        <v>0.55800000000000005</v>
      </c>
      <c r="Q15" s="12">
        <v>2.7900000000000001E-2</v>
      </c>
      <c r="R15" s="19">
        <f t="shared" si="0"/>
        <v>0.55800000000000005</v>
      </c>
      <c r="S15" s="121"/>
    </row>
    <row r="16" spans="1:19" ht="15.75" thickBot="1" x14ac:dyDescent="0.3">
      <c r="A16" s="28">
        <v>14</v>
      </c>
      <c r="B16" s="156"/>
      <c r="C16" s="152" t="s">
        <v>293</v>
      </c>
      <c r="D16" s="53" t="s">
        <v>294</v>
      </c>
      <c r="E16" s="8" t="s">
        <v>295</v>
      </c>
      <c r="F16" s="8" t="s">
        <v>296</v>
      </c>
      <c r="G16" s="22" t="s">
        <v>297</v>
      </c>
      <c r="H16" s="9" t="s">
        <v>302</v>
      </c>
      <c r="I16" s="48" t="s">
        <v>161</v>
      </c>
      <c r="J16" s="8" t="s">
        <v>158</v>
      </c>
      <c r="K16" s="8">
        <v>20</v>
      </c>
      <c r="L16" s="9">
        <v>1</v>
      </c>
      <c r="M16" s="10">
        <v>20</v>
      </c>
      <c r="N16" s="157" t="s">
        <v>223</v>
      </c>
      <c r="O16" s="13">
        <v>1.9900000000000001E-2</v>
      </c>
      <c r="P16" s="91">
        <f t="shared" si="2"/>
        <v>0.39800000000000002</v>
      </c>
      <c r="Q16" s="13">
        <v>1.9900000000000001E-2</v>
      </c>
      <c r="R16" s="19">
        <f t="shared" si="0"/>
        <v>0.39800000000000002</v>
      </c>
      <c r="S16" s="153"/>
    </row>
    <row r="17" spans="1:19" ht="15.75" thickBot="1" x14ac:dyDescent="0.3">
      <c r="A17" s="28">
        <v>15</v>
      </c>
      <c r="B17" s="146" t="s">
        <v>44</v>
      </c>
      <c r="C17" s="94" t="s">
        <v>45</v>
      </c>
      <c r="D17" s="95" t="s">
        <v>303</v>
      </c>
      <c r="E17" s="96" t="s">
        <v>162</v>
      </c>
      <c r="F17" s="96" t="s">
        <v>46</v>
      </c>
      <c r="G17" s="97" t="s">
        <v>148</v>
      </c>
      <c r="H17" s="132" t="s">
        <v>274</v>
      </c>
      <c r="I17" s="98" t="s">
        <v>161</v>
      </c>
      <c r="J17" s="96" t="s">
        <v>131</v>
      </c>
      <c r="K17" s="90">
        <v>5</v>
      </c>
      <c r="L17" s="99">
        <v>1</v>
      </c>
      <c r="M17" s="90">
        <f t="shared" si="1"/>
        <v>5</v>
      </c>
      <c r="N17" s="133" t="s">
        <v>320</v>
      </c>
      <c r="O17" s="100">
        <v>1</v>
      </c>
      <c r="P17" s="81">
        <f>O17*L17</f>
        <v>1</v>
      </c>
      <c r="Q17" s="100">
        <v>1</v>
      </c>
      <c r="R17" s="19">
        <f t="shared" si="0"/>
        <v>5</v>
      </c>
      <c r="S17" s="123" t="s">
        <v>275</v>
      </c>
    </row>
    <row r="18" spans="1:19" ht="15.75" thickBot="1" x14ac:dyDescent="0.3">
      <c r="A18" s="28">
        <v>16</v>
      </c>
      <c r="B18" s="145"/>
      <c r="C18" s="101" t="s">
        <v>47</v>
      </c>
      <c r="D18" s="102" t="s">
        <v>48</v>
      </c>
      <c r="E18" s="103" t="s">
        <v>162</v>
      </c>
      <c r="F18" s="103" t="s">
        <v>49</v>
      </c>
      <c r="G18" s="104" t="s">
        <v>149</v>
      </c>
      <c r="H18" s="105" t="s">
        <v>227</v>
      </c>
      <c r="I18" s="106" t="s">
        <v>161</v>
      </c>
      <c r="J18" s="103" t="s">
        <v>132</v>
      </c>
      <c r="K18" s="107">
        <v>1</v>
      </c>
      <c r="L18" s="105">
        <v>1</v>
      </c>
      <c r="M18" s="107">
        <f t="shared" si="1"/>
        <v>5</v>
      </c>
      <c r="N18" s="108" t="s">
        <v>223</v>
      </c>
      <c r="O18" s="109">
        <v>0.35360000000000003</v>
      </c>
      <c r="P18" s="91">
        <f t="shared" si="2"/>
        <v>0.35360000000000003</v>
      </c>
      <c r="Q18" s="109">
        <v>0.35360000000000003</v>
      </c>
      <c r="R18" s="19">
        <f t="shared" si="0"/>
        <v>1.7680000000000002</v>
      </c>
      <c r="S18" s="120"/>
    </row>
    <row r="19" spans="1:19" ht="15.75" thickBot="1" x14ac:dyDescent="0.3">
      <c r="A19" s="28">
        <v>17</v>
      </c>
      <c r="B19" s="142" t="s">
        <v>50</v>
      </c>
      <c r="C19" s="25" t="s">
        <v>51</v>
      </c>
      <c r="D19" s="50" t="s">
        <v>52</v>
      </c>
      <c r="E19" s="14" t="s">
        <v>168</v>
      </c>
      <c r="F19" s="14" t="s">
        <v>53</v>
      </c>
      <c r="G19" s="24" t="s">
        <v>39</v>
      </c>
      <c r="H19" s="84" t="s">
        <v>228</v>
      </c>
      <c r="I19" s="85" t="s">
        <v>161</v>
      </c>
      <c r="J19" s="75" t="s">
        <v>158</v>
      </c>
      <c r="K19" s="86">
        <v>50</v>
      </c>
      <c r="L19" s="84">
        <v>2</v>
      </c>
      <c r="M19" s="86">
        <f t="shared" si="1"/>
        <v>10</v>
      </c>
      <c r="N19" s="87" t="s">
        <v>223</v>
      </c>
      <c r="O19" s="18">
        <v>2.8299999999999999E-2</v>
      </c>
      <c r="P19" s="80">
        <f t="shared" si="2"/>
        <v>1.415</v>
      </c>
      <c r="Q19" s="18">
        <v>2.8299999999999999E-2</v>
      </c>
      <c r="R19" s="19">
        <f t="shared" si="0"/>
        <v>0.28299999999999997</v>
      </c>
      <c r="S19" s="20"/>
    </row>
    <row r="20" spans="1:19" ht="15.75" thickBot="1" x14ac:dyDescent="0.3">
      <c r="A20" s="28">
        <v>18</v>
      </c>
      <c r="B20" s="143"/>
      <c r="C20" s="26" t="s">
        <v>175</v>
      </c>
      <c r="D20" s="51" t="s">
        <v>55</v>
      </c>
      <c r="E20" s="4" t="s">
        <v>176</v>
      </c>
      <c r="F20" s="4" t="s">
        <v>177</v>
      </c>
      <c r="G20" s="36" t="s">
        <v>57</v>
      </c>
      <c r="H20" s="6" t="s">
        <v>249</v>
      </c>
      <c r="I20" s="49" t="s">
        <v>161</v>
      </c>
      <c r="J20" s="35" t="s">
        <v>158</v>
      </c>
      <c r="K20" s="35">
        <v>1</v>
      </c>
      <c r="L20" s="38">
        <v>1</v>
      </c>
      <c r="M20" s="37">
        <v>6</v>
      </c>
      <c r="N20" s="1" t="s">
        <v>223</v>
      </c>
      <c r="O20" s="39">
        <v>0.2087</v>
      </c>
      <c r="P20" s="11">
        <f t="shared" si="2"/>
        <v>0.2087</v>
      </c>
      <c r="Q20" s="39">
        <v>0.2087</v>
      </c>
      <c r="R20" s="19">
        <f t="shared" si="0"/>
        <v>1.2522</v>
      </c>
      <c r="S20" s="40"/>
    </row>
    <row r="21" spans="1:19" ht="15.75" thickBot="1" x14ac:dyDescent="0.3">
      <c r="A21" s="28">
        <v>19</v>
      </c>
      <c r="B21" s="144"/>
      <c r="C21" s="27" t="s">
        <v>54</v>
      </c>
      <c r="D21" s="53" t="s">
        <v>306</v>
      </c>
      <c r="E21" s="8" t="s">
        <v>168</v>
      </c>
      <c r="F21" s="8" t="s">
        <v>56</v>
      </c>
      <c r="G21" s="21" t="s">
        <v>57</v>
      </c>
      <c r="H21" s="88" t="s">
        <v>276</v>
      </c>
      <c r="I21" s="89" t="s">
        <v>277</v>
      </c>
      <c r="J21" s="76" t="s">
        <v>158</v>
      </c>
      <c r="K21" s="78">
        <v>50</v>
      </c>
      <c r="L21" s="77">
        <v>1</v>
      </c>
      <c r="M21" s="78">
        <f t="shared" si="1"/>
        <v>5</v>
      </c>
      <c r="N21" s="1" t="s">
        <v>223</v>
      </c>
      <c r="O21" s="13">
        <v>2.0199999999999999E-2</v>
      </c>
      <c r="P21" s="93">
        <f t="shared" si="2"/>
        <v>1.01</v>
      </c>
      <c r="Q21" s="13">
        <v>2.0199999999999999E-2</v>
      </c>
      <c r="R21" s="19">
        <f t="shared" si="0"/>
        <v>0.10099999999999999</v>
      </c>
      <c r="S21" s="121" t="s">
        <v>167</v>
      </c>
    </row>
    <row r="22" spans="1:19" ht="26.25" thickBot="1" x14ac:dyDescent="0.3">
      <c r="A22" s="28">
        <v>20</v>
      </c>
      <c r="B22" s="142" t="s">
        <v>208</v>
      </c>
      <c r="C22" s="42" t="s">
        <v>58</v>
      </c>
      <c r="D22" s="50" t="s">
        <v>309</v>
      </c>
      <c r="E22" s="14" t="s">
        <v>59</v>
      </c>
      <c r="F22" s="14" t="s">
        <v>60</v>
      </c>
      <c r="G22" s="23" t="s">
        <v>150</v>
      </c>
      <c r="H22" s="17" t="s">
        <v>229</v>
      </c>
      <c r="I22" s="17" t="s">
        <v>231</v>
      </c>
      <c r="J22" s="14" t="s">
        <v>133</v>
      </c>
      <c r="K22" s="16">
        <v>10</v>
      </c>
      <c r="L22" s="17">
        <v>7</v>
      </c>
      <c r="M22" s="16">
        <v>40</v>
      </c>
      <c r="N22" s="15" t="s">
        <v>223</v>
      </c>
      <c r="O22" s="18">
        <v>5.91E-2</v>
      </c>
      <c r="P22" s="80">
        <f t="shared" si="2"/>
        <v>0.59099999999999997</v>
      </c>
      <c r="Q22" s="18">
        <v>5.91E-2</v>
      </c>
      <c r="R22" s="19">
        <f t="shared" si="0"/>
        <v>2.3639999999999999</v>
      </c>
      <c r="S22" s="121" t="s">
        <v>167</v>
      </c>
    </row>
    <row r="23" spans="1:19" ht="15.75" thickBot="1" x14ac:dyDescent="0.3">
      <c r="A23" s="28">
        <v>21</v>
      </c>
      <c r="B23" s="143"/>
      <c r="C23" s="26" t="s">
        <v>61</v>
      </c>
      <c r="D23" s="51" t="s">
        <v>179</v>
      </c>
      <c r="E23" s="4" t="s">
        <v>59</v>
      </c>
      <c r="F23" s="4" t="s">
        <v>63</v>
      </c>
      <c r="G23" s="1" t="s">
        <v>64</v>
      </c>
      <c r="H23" s="6" t="s">
        <v>230</v>
      </c>
      <c r="I23" s="47" t="s">
        <v>161</v>
      </c>
      <c r="J23" s="4" t="s">
        <v>134</v>
      </c>
      <c r="K23" s="5">
        <v>100</v>
      </c>
      <c r="L23" s="6">
        <v>1</v>
      </c>
      <c r="M23" s="5">
        <f t="shared" si="1"/>
        <v>5</v>
      </c>
      <c r="N23" s="1" t="s">
        <v>223</v>
      </c>
      <c r="O23" s="12">
        <v>1.6000000000000001E-3</v>
      </c>
      <c r="P23" s="11">
        <f t="shared" si="2"/>
        <v>0.16</v>
      </c>
      <c r="Q23" s="12">
        <v>1.6000000000000001E-3</v>
      </c>
      <c r="R23" s="19">
        <f t="shared" si="0"/>
        <v>8.0000000000000002E-3</v>
      </c>
      <c r="S23" s="7"/>
    </row>
    <row r="24" spans="1:19" ht="15.75" thickBot="1" x14ac:dyDescent="0.3">
      <c r="A24" s="28">
        <v>22</v>
      </c>
      <c r="B24" s="143"/>
      <c r="C24" s="26" t="s">
        <v>313</v>
      </c>
      <c r="D24" s="51" t="s">
        <v>314</v>
      </c>
      <c r="E24" s="4" t="s">
        <v>59</v>
      </c>
      <c r="F24" s="4" t="s">
        <v>315</v>
      </c>
      <c r="G24" s="1" t="s">
        <v>316</v>
      </c>
      <c r="H24" s="6" t="s">
        <v>317</v>
      </c>
      <c r="I24" s="47" t="s">
        <v>161</v>
      </c>
      <c r="J24" s="4" t="s">
        <v>318</v>
      </c>
      <c r="K24" s="5">
        <v>5</v>
      </c>
      <c r="L24" s="6">
        <v>1</v>
      </c>
      <c r="M24" s="5">
        <v>5</v>
      </c>
      <c r="N24" s="127" t="s">
        <v>223</v>
      </c>
      <c r="O24" s="12">
        <v>0.13869999999999999</v>
      </c>
      <c r="P24" s="11">
        <f t="shared" si="2"/>
        <v>0.69350000000000001</v>
      </c>
      <c r="Q24" s="12">
        <v>0.13869999999999999</v>
      </c>
      <c r="R24" s="19">
        <f t="shared" si="0"/>
        <v>0.69350000000000001</v>
      </c>
      <c r="S24" s="7"/>
    </row>
    <row r="25" spans="1:19" ht="15.75" thickBot="1" x14ac:dyDescent="0.3">
      <c r="A25" s="28">
        <v>23</v>
      </c>
      <c r="B25" s="143"/>
      <c r="C25" s="26" t="s">
        <v>178</v>
      </c>
      <c r="D25" s="51" t="s">
        <v>312</v>
      </c>
      <c r="E25" s="4" t="s">
        <v>59</v>
      </c>
      <c r="F25" s="4" t="s">
        <v>180</v>
      </c>
      <c r="G25" s="1" t="s">
        <v>64</v>
      </c>
      <c r="H25" s="6" t="s">
        <v>250</v>
      </c>
      <c r="I25" s="47" t="s">
        <v>161</v>
      </c>
      <c r="J25" s="35" t="s">
        <v>181</v>
      </c>
      <c r="K25" s="35">
        <v>100</v>
      </c>
      <c r="L25" s="38">
        <v>1</v>
      </c>
      <c r="M25" s="37">
        <f t="shared" si="1"/>
        <v>5</v>
      </c>
      <c r="N25" s="36" t="s">
        <v>223</v>
      </c>
      <c r="O25" s="39">
        <v>2E-3</v>
      </c>
      <c r="P25" s="11">
        <f t="shared" si="2"/>
        <v>0.2</v>
      </c>
      <c r="Q25" s="39">
        <v>2E-3</v>
      </c>
      <c r="R25" s="19">
        <f t="shared" si="0"/>
        <v>0.01</v>
      </c>
      <c r="S25" s="43"/>
    </row>
    <row r="26" spans="1:19" ht="26.25" thickBot="1" x14ac:dyDescent="0.3">
      <c r="A26" s="28">
        <v>24</v>
      </c>
      <c r="B26" s="143"/>
      <c r="C26" s="44" t="s">
        <v>184</v>
      </c>
      <c r="D26" s="51" t="s">
        <v>310</v>
      </c>
      <c r="E26" s="4" t="s">
        <v>59</v>
      </c>
      <c r="F26" s="4" t="s">
        <v>185</v>
      </c>
      <c r="G26" s="3" t="s">
        <v>150</v>
      </c>
      <c r="H26" s="6" t="s">
        <v>255</v>
      </c>
      <c r="I26" s="47" t="s">
        <v>254</v>
      </c>
      <c r="J26" s="4" t="s">
        <v>186</v>
      </c>
      <c r="K26" s="4">
        <v>20</v>
      </c>
      <c r="L26" s="6">
        <v>3</v>
      </c>
      <c r="M26" s="5">
        <f t="shared" si="1"/>
        <v>15</v>
      </c>
      <c r="N26" s="1" t="s">
        <v>223</v>
      </c>
      <c r="O26" s="12">
        <v>3.7600000000000001E-2</v>
      </c>
      <c r="P26" s="11">
        <f t="shared" si="2"/>
        <v>0.752</v>
      </c>
      <c r="Q26" s="12">
        <v>3.7600000000000001E-2</v>
      </c>
      <c r="R26" s="19">
        <f t="shared" si="0"/>
        <v>0.56400000000000006</v>
      </c>
      <c r="S26" s="121" t="s">
        <v>167</v>
      </c>
    </row>
    <row r="27" spans="1:19" ht="15.75" thickBot="1" x14ac:dyDescent="0.3">
      <c r="A27" s="28">
        <v>25</v>
      </c>
      <c r="B27" s="143"/>
      <c r="C27" s="26" t="s">
        <v>65</v>
      </c>
      <c r="D27" s="51" t="s">
        <v>308</v>
      </c>
      <c r="E27" s="4" t="s">
        <v>59</v>
      </c>
      <c r="F27" s="4" t="s">
        <v>66</v>
      </c>
      <c r="G27" s="3" t="s">
        <v>152</v>
      </c>
      <c r="H27" s="6" t="s">
        <v>252</v>
      </c>
      <c r="I27" s="47" t="s">
        <v>251</v>
      </c>
      <c r="J27" s="4" t="s">
        <v>135</v>
      </c>
      <c r="K27" s="4">
        <v>100</v>
      </c>
      <c r="L27" s="6">
        <v>1</v>
      </c>
      <c r="M27" s="5">
        <f t="shared" si="1"/>
        <v>5</v>
      </c>
      <c r="N27" s="1" t="s">
        <v>223</v>
      </c>
      <c r="O27" s="12">
        <v>2.3999999999999998E-3</v>
      </c>
      <c r="P27" s="11">
        <f t="shared" si="2"/>
        <v>0.24</v>
      </c>
      <c r="Q27" s="12">
        <v>2.3999999999999998E-3</v>
      </c>
      <c r="R27" s="19">
        <f t="shared" si="0"/>
        <v>1.1999999999999999E-2</v>
      </c>
      <c r="S27" s="121" t="s">
        <v>167</v>
      </c>
    </row>
    <row r="28" spans="1:19" ht="26.25" thickBot="1" x14ac:dyDescent="0.3">
      <c r="A28" s="28">
        <v>26</v>
      </c>
      <c r="B28" s="143"/>
      <c r="C28" s="44" t="s">
        <v>67</v>
      </c>
      <c r="D28" s="51" t="s">
        <v>311</v>
      </c>
      <c r="E28" s="4" t="s">
        <v>59</v>
      </c>
      <c r="F28" s="4" t="s">
        <v>68</v>
      </c>
      <c r="G28" s="3" t="s">
        <v>154</v>
      </c>
      <c r="H28" s="6" t="s">
        <v>253</v>
      </c>
      <c r="I28" s="47" t="s">
        <v>161</v>
      </c>
      <c r="J28" s="4" t="s">
        <v>136</v>
      </c>
      <c r="K28" s="4">
        <v>20</v>
      </c>
      <c r="L28" s="6">
        <v>1</v>
      </c>
      <c r="M28" s="5">
        <f t="shared" si="1"/>
        <v>5</v>
      </c>
      <c r="N28" s="1" t="s">
        <v>223</v>
      </c>
      <c r="O28" s="12">
        <v>2.2100000000000002E-2</v>
      </c>
      <c r="P28" s="11">
        <f t="shared" si="2"/>
        <v>0.44200000000000006</v>
      </c>
      <c r="Q28" s="12">
        <v>2.2100000000000002E-2</v>
      </c>
      <c r="R28" s="19">
        <f t="shared" si="0"/>
        <v>0.11050000000000001</v>
      </c>
      <c r="S28" s="7"/>
    </row>
    <row r="29" spans="1:19" ht="15.75" thickBot="1" x14ac:dyDescent="0.3">
      <c r="A29" s="28">
        <v>27</v>
      </c>
      <c r="B29" s="143"/>
      <c r="C29" s="26" t="s">
        <v>69</v>
      </c>
      <c r="D29" s="51" t="s">
        <v>307</v>
      </c>
      <c r="E29" s="4" t="s">
        <v>59</v>
      </c>
      <c r="F29" s="4" t="s">
        <v>70</v>
      </c>
      <c r="G29" s="3" t="s">
        <v>155</v>
      </c>
      <c r="H29" s="6" t="s">
        <v>238</v>
      </c>
      <c r="I29" s="6" t="s">
        <v>239</v>
      </c>
      <c r="J29" s="4" t="s">
        <v>137</v>
      </c>
      <c r="K29" s="5">
        <v>20</v>
      </c>
      <c r="L29" s="6">
        <v>4</v>
      </c>
      <c r="M29" s="5">
        <f t="shared" si="1"/>
        <v>20</v>
      </c>
      <c r="N29" s="1" t="s">
        <v>223</v>
      </c>
      <c r="O29" s="12">
        <v>3.7600000000000001E-2</v>
      </c>
      <c r="P29" s="11">
        <f t="shared" si="2"/>
        <v>0.752</v>
      </c>
      <c r="Q29" s="12">
        <v>3.7600000000000001E-2</v>
      </c>
      <c r="R29" s="19">
        <f t="shared" si="0"/>
        <v>0.752</v>
      </c>
      <c r="S29" s="121" t="s">
        <v>167</v>
      </c>
    </row>
    <row r="30" spans="1:19" ht="15.75" thickBot="1" x14ac:dyDescent="0.3">
      <c r="A30" s="28">
        <v>28</v>
      </c>
      <c r="B30" s="143"/>
      <c r="C30" s="26" t="s">
        <v>71</v>
      </c>
      <c r="D30" s="51" t="s">
        <v>62</v>
      </c>
      <c r="E30" s="4" t="s">
        <v>59</v>
      </c>
      <c r="F30" s="4" t="s">
        <v>72</v>
      </c>
      <c r="G30" s="3" t="s">
        <v>155</v>
      </c>
      <c r="H30" s="6" t="s">
        <v>237</v>
      </c>
      <c r="I30" s="6" t="s">
        <v>236</v>
      </c>
      <c r="J30" s="4" t="s">
        <v>138</v>
      </c>
      <c r="K30" s="5">
        <v>100</v>
      </c>
      <c r="L30" s="6">
        <v>1</v>
      </c>
      <c r="M30" s="5">
        <f t="shared" si="1"/>
        <v>5</v>
      </c>
      <c r="N30" s="1" t="s">
        <v>223</v>
      </c>
      <c r="O30" s="12">
        <v>1.1999999999999999E-3</v>
      </c>
      <c r="P30" s="11">
        <f t="shared" si="2"/>
        <v>0.12</v>
      </c>
      <c r="Q30" s="12">
        <v>1.1999999999999999E-3</v>
      </c>
      <c r="R30" s="19">
        <f t="shared" si="0"/>
        <v>5.9999999999999993E-3</v>
      </c>
      <c r="S30" s="121" t="s">
        <v>167</v>
      </c>
    </row>
    <row r="31" spans="1:19" ht="15.75" thickBot="1" x14ac:dyDescent="0.3">
      <c r="A31" s="28">
        <v>29</v>
      </c>
      <c r="B31" s="143"/>
      <c r="C31" s="26" t="s">
        <v>165</v>
      </c>
      <c r="D31" s="51" t="s">
        <v>73</v>
      </c>
      <c r="E31" s="4" t="s">
        <v>182</v>
      </c>
      <c r="F31" s="4" t="s">
        <v>166</v>
      </c>
      <c r="G31" s="45" t="s">
        <v>183</v>
      </c>
      <c r="H31" s="6" t="s">
        <v>257</v>
      </c>
      <c r="I31" s="47" t="s">
        <v>256</v>
      </c>
      <c r="J31" s="4" t="s">
        <v>139</v>
      </c>
      <c r="K31" s="4">
        <v>10</v>
      </c>
      <c r="L31" s="38">
        <v>1</v>
      </c>
      <c r="M31" s="37">
        <f t="shared" si="1"/>
        <v>5</v>
      </c>
      <c r="N31" s="1" t="s">
        <v>223</v>
      </c>
      <c r="O31" s="39">
        <v>4.19E-2</v>
      </c>
      <c r="P31" s="11">
        <f t="shared" si="2"/>
        <v>0.41899999999999998</v>
      </c>
      <c r="Q31" s="39">
        <v>4.19E-2</v>
      </c>
      <c r="R31" s="19">
        <f t="shared" si="0"/>
        <v>0.20949999999999999</v>
      </c>
      <c r="S31" s="121" t="s">
        <v>167</v>
      </c>
    </row>
    <row r="32" spans="1:19" ht="15.75" thickBot="1" x14ac:dyDescent="0.3">
      <c r="A32" s="28">
        <v>30</v>
      </c>
      <c r="B32" s="143"/>
      <c r="C32" s="26" t="s">
        <v>74</v>
      </c>
      <c r="D32" s="51" t="s">
        <v>75</v>
      </c>
      <c r="E32" s="4" t="s">
        <v>59</v>
      </c>
      <c r="F32" s="4" t="s">
        <v>76</v>
      </c>
      <c r="G32" s="3" t="s">
        <v>155</v>
      </c>
      <c r="H32" s="6" t="s">
        <v>234</v>
      </c>
      <c r="I32" s="6" t="s">
        <v>232</v>
      </c>
      <c r="J32" s="4" t="s">
        <v>140</v>
      </c>
      <c r="K32" s="5">
        <v>100</v>
      </c>
      <c r="L32" s="6">
        <v>1</v>
      </c>
      <c r="M32" s="5">
        <f t="shared" si="1"/>
        <v>5</v>
      </c>
      <c r="N32" s="1" t="s">
        <v>223</v>
      </c>
      <c r="O32" s="12">
        <v>1.4E-3</v>
      </c>
      <c r="P32" s="11">
        <f t="shared" si="2"/>
        <v>0.13999999999999999</v>
      </c>
      <c r="Q32" s="12">
        <v>1.4E-3</v>
      </c>
      <c r="R32" s="19">
        <f t="shared" si="0"/>
        <v>7.0000000000000001E-3</v>
      </c>
      <c r="S32" s="121" t="s">
        <v>167</v>
      </c>
    </row>
    <row r="33" spans="1:19" ht="15.75" thickBot="1" x14ac:dyDescent="0.3">
      <c r="A33" s="28">
        <v>31</v>
      </c>
      <c r="B33" s="143"/>
      <c r="C33" s="26" t="s">
        <v>77</v>
      </c>
      <c r="D33" s="51" t="s">
        <v>78</v>
      </c>
      <c r="E33" s="4" t="s">
        <v>59</v>
      </c>
      <c r="F33" s="4" t="s">
        <v>79</v>
      </c>
      <c r="G33" s="3" t="s">
        <v>153</v>
      </c>
      <c r="H33" s="6" t="s">
        <v>235</v>
      </c>
      <c r="I33" s="74" t="s">
        <v>233</v>
      </c>
      <c r="J33" s="4" t="s">
        <v>141</v>
      </c>
      <c r="K33" s="5">
        <v>100</v>
      </c>
      <c r="L33" s="6">
        <v>1</v>
      </c>
      <c r="M33" s="5">
        <f t="shared" si="1"/>
        <v>5</v>
      </c>
      <c r="N33" s="1" t="s">
        <v>223</v>
      </c>
      <c r="O33" s="12">
        <v>1.4E-3</v>
      </c>
      <c r="P33" s="11">
        <f t="shared" si="2"/>
        <v>0.13999999999999999</v>
      </c>
      <c r="Q33" s="12">
        <v>1.4E-3</v>
      </c>
      <c r="R33" s="19">
        <f t="shared" si="0"/>
        <v>7.0000000000000001E-3</v>
      </c>
      <c r="S33" s="121" t="s">
        <v>167</v>
      </c>
    </row>
    <row r="34" spans="1:19" ht="15.75" thickBot="1" x14ac:dyDescent="0.3">
      <c r="A34" s="28">
        <v>32</v>
      </c>
      <c r="B34" s="143"/>
      <c r="C34" s="26" t="s">
        <v>80</v>
      </c>
      <c r="D34" s="51" t="s">
        <v>81</v>
      </c>
      <c r="E34" s="4" t="s">
        <v>59</v>
      </c>
      <c r="F34" s="4" t="s">
        <v>82</v>
      </c>
      <c r="G34" s="1" t="s">
        <v>151</v>
      </c>
      <c r="H34" s="6" t="s">
        <v>241</v>
      </c>
      <c r="I34" s="74" t="s">
        <v>240</v>
      </c>
      <c r="J34" s="4" t="s">
        <v>142</v>
      </c>
      <c r="K34" s="5">
        <v>100</v>
      </c>
      <c r="L34" s="6">
        <v>4</v>
      </c>
      <c r="M34" s="5">
        <f t="shared" si="1"/>
        <v>20</v>
      </c>
      <c r="N34" s="1" t="s">
        <v>223</v>
      </c>
      <c r="O34" s="12">
        <v>1.8E-3</v>
      </c>
      <c r="P34" s="11">
        <f t="shared" si="2"/>
        <v>0.18</v>
      </c>
      <c r="Q34" s="12">
        <v>1.8E-3</v>
      </c>
      <c r="R34" s="19">
        <f t="shared" si="0"/>
        <v>3.5999999999999997E-2</v>
      </c>
      <c r="S34" s="121" t="s">
        <v>167</v>
      </c>
    </row>
    <row r="35" spans="1:19" ht="15.75" thickBot="1" x14ac:dyDescent="0.3">
      <c r="A35" s="28">
        <v>33</v>
      </c>
      <c r="B35" s="82" t="s">
        <v>83</v>
      </c>
      <c r="C35" s="110" t="s">
        <v>187</v>
      </c>
      <c r="D35" s="111" t="s">
        <v>84</v>
      </c>
      <c r="E35" s="112" t="s">
        <v>162</v>
      </c>
      <c r="F35" s="112" t="s">
        <v>188</v>
      </c>
      <c r="G35" s="113" t="s">
        <v>189</v>
      </c>
      <c r="H35" s="114" t="s">
        <v>258</v>
      </c>
      <c r="I35" s="115" t="s">
        <v>161</v>
      </c>
      <c r="J35" s="112" t="s">
        <v>158</v>
      </c>
      <c r="K35" s="112">
        <v>1</v>
      </c>
      <c r="L35" s="114">
        <v>1</v>
      </c>
      <c r="M35" s="116">
        <f t="shared" si="1"/>
        <v>5</v>
      </c>
      <c r="N35" s="117" t="s">
        <v>223</v>
      </c>
      <c r="O35" s="118">
        <v>0.25850000000000001</v>
      </c>
      <c r="P35" s="91">
        <f t="shared" si="2"/>
        <v>0.25850000000000001</v>
      </c>
      <c r="Q35" s="118">
        <v>0.25850000000000001</v>
      </c>
      <c r="R35" s="19">
        <f t="shared" si="0"/>
        <v>1.2925</v>
      </c>
      <c r="S35" s="123"/>
    </row>
    <row r="36" spans="1:19" ht="15.75" thickBot="1" x14ac:dyDescent="0.3">
      <c r="A36" s="28">
        <v>34</v>
      </c>
      <c r="B36" s="142" t="s">
        <v>85</v>
      </c>
      <c r="C36" s="70" t="s">
        <v>86</v>
      </c>
      <c r="D36" s="50" t="s">
        <v>87</v>
      </c>
      <c r="E36" s="50" t="s">
        <v>162</v>
      </c>
      <c r="F36" s="50" t="s">
        <v>88</v>
      </c>
      <c r="G36" s="15" t="s">
        <v>89</v>
      </c>
      <c r="H36" s="17" t="s">
        <v>259</v>
      </c>
      <c r="I36" s="50" t="s">
        <v>161</v>
      </c>
      <c r="J36" s="50" t="s">
        <v>158</v>
      </c>
      <c r="K36" s="50">
        <v>1</v>
      </c>
      <c r="L36" s="71">
        <v>1</v>
      </c>
      <c r="M36" s="71">
        <f t="shared" si="1"/>
        <v>5</v>
      </c>
      <c r="N36" s="119" t="s">
        <v>223</v>
      </c>
      <c r="O36" s="72">
        <v>4.0141</v>
      </c>
      <c r="P36" s="80">
        <f t="shared" si="2"/>
        <v>4.0141</v>
      </c>
      <c r="Q36" s="72">
        <v>4.0141</v>
      </c>
      <c r="R36" s="19">
        <f t="shared" si="0"/>
        <v>20.070499999999999</v>
      </c>
      <c r="S36" s="124"/>
    </row>
    <row r="37" spans="1:19" ht="26.25" thickBot="1" x14ac:dyDescent="0.3">
      <c r="A37" s="28">
        <v>35</v>
      </c>
      <c r="B37" s="143"/>
      <c r="C37" s="34" t="s">
        <v>90</v>
      </c>
      <c r="D37" s="52" t="s">
        <v>91</v>
      </c>
      <c r="E37" s="35" t="s">
        <v>92</v>
      </c>
      <c r="F37" s="35" t="s">
        <v>93</v>
      </c>
      <c r="G37" s="41" t="s">
        <v>98</v>
      </c>
      <c r="H37" s="6" t="s">
        <v>158</v>
      </c>
      <c r="I37" s="47" t="s">
        <v>161</v>
      </c>
      <c r="J37" s="35" t="s">
        <v>158</v>
      </c>
      <c r="K37" s="35">
        <v>1</v>
      </c>
      <c r="L37" s="38">
        <v>1</v>
      </c>
      <c r="M37" s="37">
        <f t="shared" si="1"/>
        <v>5</v>
      </c>
      <c r="N37" s="135" t="s">
        <v>320</v>
      </c>
      <c r="O37" s="39">
        <v>3.71</v>
      </c>
      <c r="P37" s="11">
        <f t="shared" si="2"/>
        <v>3.71</v>
      </c>
      <c r="Q37" s="39">
        <v>3.71</v>
      </c>
      <c r="R37" s="19">
        <f t="shared" si="0"/>
        <v>18.55</v>
      </c>
      <c r="S37" s="43" t="s">
        <v>280</v>
      </c>
    </row>
    <row r="38" spans="1:19" ht="15.75" thickBot="1" x14ac:dyDescent="0.3">
      <c r="A38" s="28">
        <v>36</v>
      </c>
      <c r="B38" s="143"/>
      <c r="C38" s="26" t="s">
        <v>94</v>
      </c>
      <c r="D38" s="51" t="s">
        <v>95</v>
      </c>
      <c r="E38" s="4" t="s">
        <v>190</v>
      </c>
      <c r="F38" s="4" t="s">
        <v>96</v>
      </c>
      <c r="G38" s="3" t="s">
        <v>106</v>
      </c>
      <c r="H38" s="3"/>
      <c r="I38" s="47" t="s">
        <v>161</v>
      </c>
      <c r="J38" s="4" t="s">
        <v>158</v>
      </c>
      <c r="K38" s="4">
        <v>1</v>
      </c>
      <c r="L38" s="6">
        <v>1</v>
      </c>
      <c r="M38" s="5">
        <f t="shared" si="1"/>
        <v>5</v>
      </c>
      <c r="N38" s="127" t="s">
        <v>321</v>
      </c>
      <c r="O38" s="12">
        <v>0.44700000000000001</v>
      </c>
      <c r="P38" s="11">
        <f>O38*L38</f>
        <v>0.44700000000000001</v>
      </c>
      <c r="Q38" s="12">
        <v>0.44700000000000001</v>
      </c>
      <c r="R38" s="19">
        <f t="shared" si="0"/>
        <v>2.2349999999999999</v>
      </c>
      <c r="S38" s="125" t="s">
        <v>275</v>
      </c>
    </row>
    <row r="39" spans="1:19" ht="15.75" thickBot="1" x14ac:dyDescent="0.3">
      <c r="A39" s="28">
        <v>37</v>
      </c>
      <c r="B39" s="143"/>
      <c r="C39" s="26" t="s">
        <v>191</v>
      </c>
      <c r="D39" s="51" t="s">
        <v>97</v>
      </c>
      <c r="E39" s="4" t="s">
        <v>192</v>
      </c>
      <c r="F39" s="4" t="s">
        <v>193</v>
      </c>
      <c r="G39" s="1" t="s">
        <v>194</v>
      </c>
      <c r="H39" s="6" t="s">
        <v>260</v>
      </c>
      <c r="I39" s="47" t="s">
        <v>161</v>
      </c>
      <c r="J39" s="4" t="s">
        <v>158</v>
      </c>
      <c r="K39" s="4">
        <v>1</v>
      </c>
      <c r="L39" s="6">
        <v>1</v>
      </c>
      <c r="M39" s="5">
        <f t="shared" si="1"/>
        <v>5</v>
      </c>
      <c r="N39" s="1" t="s">
        <v>223</v>
      </c>
      <c r="O39" s="12">
        <v>3.0926999999999998</v>
      </c>
      <c r="P39" s="11">
        <f t="shared" si="2"/>
        <v>3.0926999999999998</v>
      </c>
      <c r="Q39" s="12">
        <v>3.0926999999999998</v>
      </c>
      <c r="R39" s="19">
        <f t="shared" si="0"/>
        <v>15.4635</v>
      </c>
      <c r="S39" s="121"/>
    </row>
    <row r="40" spans="1:19" ht="15.75" thickBot="1" x14ac:dyDescent="0.3">
      <c r="A40" s="28">
        <v>38</v>
      </c>
      <c r="B40" s="143"/>
      <c r="C40" s="34" t="s">
        <v>99</v>
      </c>
      <c r="D40" s="52" t="s">
        <v>100</v>
      </c>
      <c r="E40" s="83" t="s">
        <v>262</v>
      </c>
      <c r="F40" s="35" t="s">
        <v>101</v>
      </c>
      <c r="G40" s="41" t="s">
        <v>102</v>
      </c>
      <c r="H40" s="6" t="s">
        <v>261</v>
      </c>
      <c r="I40" s="47" t="s">
        <v>161</v>
      </c>
      <c r="J40" s="35" t="s">
        <v>158</v>
      </c>
      <c r="K40" s="35">
        <v>1</v>
      </c>
      <c r="L40" s="38">
        <v>1</v>
      </c>
      <c r="M40" s="37">
        <f t="shared" si="1"/>
        <v>5</v>
      </c>
      <c r="N40" s="36" t="s">
        <v>223</v>
      </c>
      <c r="O40" s="39">
        <v>0.76100000000000001</v>
      </c>
      <c r="P40" s="11">
        <f t="shared" si="2"/>
        <v>0.76100000000000001</v>
      </c>
      <c r="Q40" s="39">
        <v>0.76100000000000001</v>
      </c>
      <c r="R40" s="19">
        <f t="shared" si="0"/>
        <v>3.8050000000000002</v>
      </c>
      <c r="S40" s="122"/>
    </row>
    <row r="41" spans="1:19" ht="15.75" thickBot="1" x14ac:dyDescent="0.3">
      <c r="A41" s="28">
        <v>39</v>
      </c>
      <c r="B41" s="143"/>
      <c r="C41" s="26" t="s">
        <v>103</v>
      </c>
      <c r="D41" s="52" t="s">
        <v>319</v>
      </c>
      <c r="E41" s="4" t="s">
        <v>104</v>
      </c>
      <c r="F41" s="4" t="s">
        <v>105</v>
      </c>
      <c r="G41" s="1" t="s">
        <v>98</v>
      </c>
      <c r="H41" s="6" t="s">
        <v>248</v>
      </c>
      <c r="I41" s="47" t="s">
        <v>161</v>
      </c>
      <c r="J41" s="4" t="s">
        <v>158</v>
      </c>
      <c r="K41" s="4">
        <v>1</v>
      </c>
      <c r="L41" s="6">
        <v>3</v>
      </c>
      <c r="M41" s="5">
        <f t="shared" si="1"/>
        <v>15</v>
      </c>
      <c r="N41" s="1" t="s">
        <v>223</v>
      </c>
      <c r="O41" s="12">
        <v>0.2137</v>
      </c>
      <c r="P41" s="11">
        <f>O41*L41</f>
        <v>0.6411</v>
      </c>
      <c r="Q41" s="12">
        <v>0.16619999999999999</v>
      </c>
      <c r="R41" s="19">
        <f t="shared" si="0"/>
        <v>2.4929999999999999</v>
      </c>
      <c r="S41" s="121"/>
    </row>
    <row r="42" spans="1:19" ht="15.75" thickBot="1" x14ac:dyDescent="0.3">
      <c r="A42" s="28">
        <v>40</v>
      </c>
      <c r="B42" s="143"/>
      <c r="C42" s="26" t="s">
        <v>195</v>
      </c>
      <c r="D42" s="52" t="s">
        <v>196</v>
      </c>
      <c r="E42" s="4" t="s">
        <v>197</v>
      </c>
      <c r="F42" s="4" t="s">
        <v>198</v>
      </c>
      <c r="G42" s="36" t="s">
        <v>203</v>
      </c>
      <c r="H42" s="6" t="s">
        <v>263</v>
      </c>
      <c r="I42" s="47" t="s">
        <v>161</v>
      </c>
      <c r="J42" s="35" t="s">
        <v>158</v>
      </c>
      <c r="K42" s="35">
        <v>1</v>
      </c>
      <c r="L42" s="38">
        <v>1</v>
      </c>
      <c r="M42" s="37">
        <f t="shared" si="1"/>
        <v>5</v>
      </c>
      <c r="N42" s="36" t="s">
        <v>223</v>
      </c>
      <c r="O42" s="39">
        <v>0.61140000000000005</v>
      </c>
      <c r="P42" s="11">
        <f t="shared" si="2"/>
        <v>0.61140000000000005</v>
      </c>
      <c r="Q42" s="39">
        <v>0.61140000000000005</v>
      </c>
      <c r="R42" s="19">
        <f t="shared" si="0"/>
        <v>3.0570000000000004</v>
      </c>
      <c r="S42" s="122"/>
    </row>
    <row r="43" spans="1:19" ht="15.75" thickBot="1" x14ac:dyDescent="0.3">
      <c r="A43" s="28">
        <v>41</v>
      </c>
      <c r="B43" s="143"/>
      <c r="C43" s="26" t="s">
        <v>199</v>
      </c>
      <c r="D43" s="52" t="s">
        <v>200</v>
      </c>
      <c r="E43" s="4" t="s">
        <v>201</v>
      </c>
      <c r="F43" s="4" t="s">
        <v>202</v>
      </c>
      <c r="G43" s="1" t="s">
        <v>204</v>
      </c>
      <c r="H43" s="6" t="s">
        <v>158</v>
      </c>
      <c r="I43" s="47" t="s">
        <v>161</v>
      </c>
      <c r="J43" s="4"/>
      <c r="K43" s="4">
        <v>1</v>
      </c>
      <c r="L43" s="6">
        <v>1</v>
      </c>
      <c r="M43" s="5">
        <f t="shared" si="1"/>
        <v>5</v>
      </c>
      <c r="N43" s="127" t="s">
        <v>321</v>
      </c>
      <c r="O43" s="12">
        <v>1</v>
      </c>
      <c r="P43" s="11">
        <f>O43*K43</f>
        <v>1</v>
      </c>
      <c r="Q43" s="12">
        <v>1</v>
      </c>
      <c r="R43" s="19">
        <f t="shared" si="0"/>
        <v>5</v>
      </c>
      <c r="S43" s="122" t="s">
        <v>278</v>
      </c>
    </row>
    <row r="44" spans="1:19" ht="26.25" thickBot="1" x14ac:dyDescent="0.3">
      <c r="A44" s="28">
        <v>42</v>
      </c>
      <c r="B44" s="144"/>
      <c r="C44" s="27" t="s">
        <v>199</v>
      </c>
      <c r="D44" s="53" t="s">
        <v>107</v>
      </c>
      <c r="E44" s="8" t="s">
        <v>209</v>
      </c>
      <c r="F44" s="8" t="s">
        <v>108</v>
      </c>
      <c r="G44" s="22" t="s">
        <v>156</v>
      </c>
      <c r="H44" s="9" t="s">
        <v>158</v>
      </c>
      <c r="I44" s="48" t="s">
        <v>161</v>
      </c>
      <c r="J44" s="8" t="s">
        <v>158</v>
      </c>
      <c r="K44" s="8">
        <v>1</v>
      </c>
      <c r="L44" s="9">
        <v>1</v>
      </c>
      <c r="M44" s="10">
        <f t="shared" si="1"/>
        <v>5</v>
      </c>
      <c r="N44" s="134" t="s">
        <v>320</v>
      </c>
      <c r="O44" s="13">
        <v>4.3600000000000003</v>
      </c>
      <c r="P44" s="93">
        <f t="shared" si="2"/>
        <v>4.3600000000000003</v>
      </c>
      <c r="Q44" s="13">
        <v>4.3600000000000003</v>
      </c>
      <c r="R44" s="19">
        <f t="shared" si="0"/>
        <v>21.8</v>
      </c>
      <c r="S44" s="43" t="s">
        <v>280</v>
      </c>
    </row>
    <row r="45" spans="1:19" ht="15.75" thickBot="1" x14ac:dyDescent="0.3">
      <c r="A45" s="28">
        <v>43</v>
      </c>
      <c r="B45" s="142" t="s">
        <v>109</v>
      </c>
      <c r="C45" s="25" t="s">
        <v>205</v>
      </c>
      <c r="D45" s="50" t="s">
        <v>304</v>
      </c>
      <c r="E45" s="14" t="s">
        <v>162</v>
      </c>
      <c r="F45" s="14" t="s">
        <v>110</v>
      </c>
      <c r="G45" s="15" t="s">
        <v>111</v>
      </c>
      <c r="H45" s="79" t="s">
        <v>242</v>
      </c>
      <c r="I45" s="46" t="s">
        <v>161</v>
      </c>
      <c r="J45" s="14" t="s">
        <v>158</v>
      </c>
      <c r="K45" s="16">
        <v>20</v>
      </c>
      <c r="L45" s="17">
        <v>8</v>
      </c>
      <c r="M45" s="16">
        <f t="shared" ref="M45:M51" si="3">L45*5</f>
        <v>40</v>
      </c>
      <c r="N45" s="15" t="s">
        <v>223</v>
      </c>
      <c r="O45" s="18">
        <v>3.1E-2</v>
      </c>
      <c r="P45" s="80">
        <f t="shared" si="2"/>
        <v>0.62</v>
      </c>
      <c r="Q45" s="18">
        <v>3.1E-2</v>
      </c>
      <c r="R45" s="19">
        <f t="shared" si="0"/>
        <v>1.24</v>
      </c>
      <c r="S45" s="126"/>
    </row>
    <row r="46" spans="1:19" ht="15.75" thickBot="1" x14ac:dyDescent="0.3">
      <c r="A46" s="28">
        <v>44</v>
      </c>
      <c r="B46" s="143"/>
      <c r="C46" s="26" t="s">
        <v>112</v>
      </c>
      <c r="D46" s="51" t="s">
        <v>113</v>
      </c>
      <c r="E46" s="4" t="s">
        <v>162</v>
      </c>
      <c r="F46" s="4" t="s">
        <v>114</v>
      </c>
      <c r="G46" s="1" t="s">
        <v>111</v>
      </c>
      <c r="H46" s="74" t="s">
        <v>243</v>
      </c>
      <c r="I46" s="47" t="s">
        <v>161</v>
      </c>
      <c r="J46" s="4" t="s">
        <v>158</v>
      </c>
      <c r="K46" s="5">
        <v>1</v>
      </c>
      <c r="L46" s="6">
        <v>3</v>
      </c>
      <c r="M46" s="5">
        <f t="shared" si="3"/>
        <v>15</v>
      </c>
      <c r="N46" s="1" t="s">
        <v>223</v>
      </c>
      <c r="O46" s="12">
        <v>0.1608</v>
      </c>
      <c r="P46" s="11">
        <f>O46*L46</f>
        <v>0.4824</v>
      </c>
      <c r="Q46" s="12">
        <v>0.12540000000000001</v>
      </c>
      <c r="R46" s="19">
        <f t="shared" si="0"/>
        <v>1.8810000000000002</v>
      </c>
      <c r="S46" s="121"/>
    </row>
    <row r="47" spans="1:19" ht="15.75" thickBot="1" x14ac:dyDescent="0.3">
      <c r="A47" s="28">
        <v>45</v>
      </c>
      <c r="B47" s="143"/>
      <c r="C47" s="26" t="s">
        <v>115</v>
      </c>
      <c r="D47" s="51" t="s">
        <v>206</v>
      </c>
      <c r="E47" s="4" t="s">
        <v>162</v>
      </c>
      <c r="F47" s="4" t="s">
        <v>116</v>
      </c>
      <c r="G47" s="1" t="s">
        <v>111</v>
      </c>
      <c r="H47" s="6" t="s">
        <v>244</v>
      </c>
      <c r="I47" s="47" t="s">
        <v>161</v>
      </c>
      <c r="J47" s="4" t="s">
        <v>158</v>
      </c>
      <c r="K47" s="5">
        <v>10</v>
      </c>
      <c r="L47" s="6">
        <v>5</v>
      </c>
      <c r="M47" s="5">
        <v>30</v>
      </c>
      <c r="N47" s="1" t="s">
        <v>247</v>
      </c>
      <c r="O47" s="12">
        <v>4.53E-2</v>
      </c>
      <c r="P47" s="11">
        <f t="shared" si="2"/>
        <v>0.45300000000000001</v>
      </c>
      <c r="Q47" s="12">
        <v>4.53E-2</v>
      </c>
      <c r="R47" s="19">
        <f t="shared" si="0"/>
        <v>1.359</v>
      </c>
      <c r="S47" s="121"/>
    </row>
    <row r="48" spans="1:19" ht="15.75" thickBot="1" x14ac:dyDescent="0.3">
      <c r="A48" s="28">
        <v>46</v>
      </c>
      <c r="B48" s="143"/>
      <c r="C48" s="26" t="s">
        <v>117</v>
      </c>
      <c r="D48" s="51" t="s">
        <v>118</v>
      </c>
      <c r="E48" s="4" t="s">
        <v>162</v>
      </c>
      <c r="F48" s="4" t="s">
        <v>119</v>
      </c>
      <c r="G48" s="1" t="s">
        <v>111</v>
      </c>
      <c r="H48" s="74" t="s">
        <v>245</v>
      </c>
      <c r="I48" s="47" t="s">
        <v>161</v>
      </c>
      <c r="J48" s="4" t="s">
        <v>158</v>
      </c>
      <c r="K48" s="5">
        <v>5</v>
      </c>
      <c r="L48" s="6">
        <v>2</v>
      </c>
      <c r="M48" s="5">
        <f t="shared" si="3"/>
        <v>10</v>
      </c>
      <c r="N48" s="1" t="s">
        <v>223</v>
      </c>
      <c r="O48" s="12">
        <v>0.1099</v>
      </c>
      <c r="P48" s="11">
        <f>O48*K48</f>
        <v>0.54949999999999999</v>
      </c>
      <c r="Q48" s="12">
        <v>0.1099</v>
      </c>
      <c r="R48" s="19">
        <f t="shared" si="0"/>
        <v>1.099</v>
      </c>
      <c r="S48" s="121"/>
    </row>
    <row r="49" spans="1:19" ht="15.75" thickBot="1" x14ac:dyDescent="0.3">
      <c r="A49" s="28">
        <v>47</v>
      </c>
      <c r="B49" s="143"/>
      <c r="C49" s="26" t="s">
        <v>120</v>
      </c>
      <c r="D49" s="51" t="s">
        <v>121</v>
      </c>
      <c r="E49" s="4" t="s">
        <v>162</v>
      </c>
      <c r="F49" s="4" t="s">
        <v>122</v>
      </c>
      <c r="G49" s="2" t="s">
        <v>123</v>
      </c>
      <c r="H49" s="6" t="s">
        <v>246</v>
      </c>
      <c r="I49" s="47" t="s">
        <v>161</v>
      </c>
      <c r="J49" s="4" t="s">
        <v>158</v>
      </c>
      <c r="K49" s="5">
        <v>1</v>
      </c>
      <c r="L49" s="6">
        <v>1</v>
      </c>
      <c r="M49" s="5">
        <f t="shared" si="3"/>
        <v>5</v>
      </c>
      <c r="N49" s="1" t="s">
        <v>223</v>
      </c>
      <c r="O49" s="12">
        <v>3.1720000000000002</v>
      </c>
      <c r="P49" s="81">
        <f t="shared" si="2"/>
        <v>3.1720000000000002</v>
      </c>
      <c r="Q49" s="12">
        <v>3.1720000000000002</v>
      </c>
      <c r="R49" s="19">
        <f t="shared" si="0"/>
        <v>15.860000000000001</v>
      </c>
      <c r="S49" s="121"/>
    </row>
    <row r="50" spans="1:19" ht="15.75" thickBot="1" x14ac:dyDescent="0.3">
      <c r="A50" s="28">
        <v>48</v>
      </c>
      <c r="B50" s="145"/>
      <c r="C50" s="69" t="s">
        <v>210</v>
      </c>
      <c r="D50" s="63" t="s">
        <v>211</v>
      </c>
      <c r="E50" s="63" t="s">
        <v>162</v>
      </c>
      <c r="F50" s="64" t="s">
        <v>212</v>
      </c>
      <c r="G50" s="65" t="s">
        <v>163</v>
      </c>
      <c r="H50" s="65"/>
      <c r="I50" s="65" t="s">
        <v>163</v>
      </c>
      <c r="J50" s="65" t="s">
        <v>163</v>
      </c>
      <c r="K50" s="65"/>
      <c r="L50" s="66">
        <v>1</v>
      </c>
      <c r="M50" s="66">
        <f t="shared" si="3"/>
        <v>5</v>
      </c>
      <c r="N50" s="65" t="s">
        <v>163</v>
      </c>
      <c r="O50" s="67" t="s">
        <v>163</v>
      </c>
      <c r="P50" s="67" t="s">
        <v>163</v>
      </c>
      <c r="Q50" s="67" t="s">
        <v>163</v>
      </c>
      <c r="R50" s="67" t="s">
        <v>163</v>
      </c>
      <c r="S50" s="68" t="s">
        <v>164</v>
      </c>
    </row>
    <row r="51" spans="1:19" ht="15.75" thickBot="1" x14ac:dyDescent="0.3">
      <c r="A51" s="28">
        <v>49</v>
      </c>
      <c r="B51" s="144"/>
      <c r="C51" s="56" t="s">
        <v>124</v>
      </c>
      <c r="D51" s="57" t="s">
        <v>305</v>
      </c>
      <c r="E51" s="57" t="s">
        <v>162</v>
      </c>
      <c r="F51" s="58" t="s">
        <v>143</v>
      </c>
      <c r="G51" s="59" t="s">
        <v>163</v>
      </c>
      <c r="H51" s="59"/>
      <c r="I51" s="59" t="s">
        <v>163</v>
      </c>
      <c r="J51" s="59" t="s">
        <v>163</v>
      </c>
      <c r="K51" s="59"/>
      <c r="L51" s="60">
        <v>4</v>
      </c>
      <c r="M51" s="60">
        <f t="shared" si="3"/>
        <v>20</v>
      </c>
      <c r="N51" s="59" t="s">
        <v>163</v>
      </c>
      <c r="O51" s="61" t="s">
        <v>163</v>
      </c>
      <c r="P51" s="61" t="s">
        <v>163</v>
      </c>
      <c r="Q51" s="61" t="s">
        <v>163</v>
      </c>
      <c r="R51" s="61" t="s">
        <v>163</v>
      </c>
      <c r="S51" s="62" t="s">
        <v>164</v>
      </c>
    </row>
    <row r="52" spans="1:19" ht="19.5" customHeight="1" thickBot="1" x14ac:dyDescent="0.35">
      <c r="L52" s="140" t="s">
        <v>159</v>
      </c>
      <c r="M52" s="140"/>
      <c r="N52" s="140"/>
      <c r="O52" s="140"/>
      <c r="P52" s="29"/>
      <c r="Q52" s="30"/>
      <c r="R52" s="31">
        <f>SUM(R3:R49)</f>
        <v>140.46269999999998</v>
      </c>
    </row>
    <row r="53" spans="1:19" ht="18.75" customHeight="1" x14ac:dyDescent="0.3">
      <c r="L53" s="141" t="s">
        <v>160</v>
      </c>
      <c r="M53" s="141"/>
      <c r="N53" s="141"/>
      <c r="O53" s="141"/>
      <c r="P53" s="32">
        <f>SUM(P3:P49)</f>
        <v>40.173700000000004</v>
      </c>
      <c r="Q53" s="33"/>
      <c r="R53" s="32">
        <f>R52/5</f>
        <v>28.092539999999996</v>
      </c>
    </row>
  </sheetData>
  <mergeCells count="11">
    <mergeCell ref="A1:S1"/>
    <mergeCell ref="L52:O52"/>
    <mergeCell ref="L53:O53"/>
    <mergeCell ref="B36:B44"/>
    <mergeCell ref="B45:B51"/>
    <mergeCell ref="B17:B18"/>
    <mergeCell ref="B19:B21"/>
    <mergeCell ref="B22:B34"/>
    <mergeCell ref="B3:B9"/>
    <mergeCell ref="B10:B13"/>
    <mergeCell ref="B14:B16"/>
  </mergeCells>
  <phoneticPr fontId="17" type="noConversion"/>
  <conditionalFormatting sqref="P5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{E28843A6-939A-4D81-986F-F3619153DF5E}</x14:id>
        </ext>
      </extLst>
    </cfRule>
  </conditionalFormatting>
  <conditionalFormatting sqref="R52:R53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{36ECBF5D-EFFC-4768-AC2E-9F5CCB8EA1CF}</x14:id>
        </ext>
      </extLst>
    </cfRule>
  </conditionalFormatting>
  <conditionalFormatting sqref="S51"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{8043E1D2-A386-4972-9379-8F1175F4CD55}</x14:id>
        </ext>
      </extLst>
    </cfRule>
  </conditionalFormatting>
  <conditionalFormatting sqref="L51:M51 L3:M49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0:M5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0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{568B2A70-A44C-42B7-B5F8-9C8E28B37608}</x14:id>
        </ext>
      </extLst>
    </cfRule>
  </conditionalFormatting>
  <conditionalFormatting sqref="P3:P49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{B802BE45-AE6E-4AFB-92D7-CAE7DD159284}</x14:id>
        </ext>
      </extLst>
    </cfRule>
  </conditionalFormatting>
  <conditionalFormatting sqref="R3:R49">
    <cfRule type="dataBar" priority="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{423AC320-90C5-4685-9B12-A5EE24B441D5}</x14:id>
        </ext>
      </extLst>
    </cfRule>
  </conditionalFormatting>
  <hyperlinks>
    <hyperlink ref="G3" r:id="rId1" display="https://lcsc.com/brand-detail/254.html" xr:uid="{00000000-0004-0000-0000-000000000000}"/>
    <hyperlink ref="G4" r:id="rId2" display="https://lcsc.com/brand-detail/254.html" xr:uid="{00000000-0004-0000-0000-000001000000}"/>
    <hyperlink ref="G5" r:id="rId3" display="https://lcsc.com/brand-detail/392.html" xr:uid="{00000000-0004-0000-0000-000002000000}"/>
    <hyperlink ref="G6" r:id="rId4" display="https://lcsc.com/brand-detail/254.html" xr:uid="{00000000-0004-0000-0000-000004000000}"/>
    <hyperlink ref="G7" r:id="rId5" display="https://lcsc.com/brand-detail/994.html" xr:uid="{00000000-0004-0000-0000-000005000000}"/>
    <hyperlink ref="G11" r:id="rId6" display="https://lcsc.com/brand-detail/296.html" xr:uid="{00000000-0004-0000-0000-000006000000}"/>
    <hyperlink ref="G21" r:id="rId7" display="https://lcsc.com/brand-detail/94.html" xr:uid="{00000000-0004-0000-0000-000007000000}"/>
    <hyperlink ref="G23" r:id="rId8" display="https://lcsc.com/brand-detail/396.html" xr:uid="{00000000-0004-0000-0000-000008000000}"/>
    <hyperlink ref="G40" r:id="rId9" display="https://lcsc.com/brand-detail/756.html" xr:uid="{00000000-0004-0000-0000-000009000000}"/>
    <hyperlink ref="G41" r:id="rId10" display="https://lcsc.com/brand-detail/100.html" xr:uid="{00000000-0004-0000-0000-00000A000000}"/>
    <hyperlink ref="G46:G48" r:id="rId11" display="https://lcsc.com/brand-detail/853.html" xr:uid="{00000000-0004-0000-0000-00000B000000}"/>
    <hyperlink ref="G49" r:id="rId12" display="https://lcsc.com/brand-detail/109.html" xr:uid="{00000000-0004-0000-0000-00000C000000}"/>
    <hyperlink ref="G8" r:id="rId13" display="https://lcsc.com/brand-detail/994.html" xr:uid="{00000000-0004-0000-0000-00000E000000}"/>
    <hyperlink ref="G10" r:id="rId14" display="https://www.digikey.com/en/supplier-centers/central-semiconductor" xr:uid="{00000000-0004-0000-0000-00000F000000}"/>
    <hyperlink ref="G12" r:id="rId15" display="https://www.digikey.com/en/supplier-centers/sunled" xr:uid="{00000000-0004-0000-0000-000010000000}"/>
    <hyperlink ref="G17" r:id="rId16" display="https://www.digikey.com/en/supplier-centers/wurth-electronics" xr:uid="{00000000-0004-0000-0000-000011000000}"/>
    <hyperlink ref="G19" r:id="rId17" display="https://lcsc.com/brand-detail/296.html" xr:uid="{00000000-0004-0000-0000-000012000000}"/>
    <hyperlink ref="G18" r:id="rId18" display="https://www.digikey.com/en/supplier-centers/tdk" xr:uid="{00000000-0004-0000-0000-000013000000}"/>
    <hyperlink ref="G22" r:id="rId19" display="https://www.digikey.com/en/supplier-centers/te-connectivity-amp" xr:uid="{00000000-0004-0000-0000-000014000000}"/>
    <hyperlink ref="G27" r:id="rId20" display="https://www.digikey.com/en/supplier-centers/rohm-semi" xr:uid="{00000000-0004-0000-0000-000015000000}"/>
    <hyperlink ref="G28" r:id="rId21" display="https://www.digikey.com/en/supplier-centers/panasonic" xr:uid="{00000000-0004-0000-0000-000016000000}"/>
    <hyperlink ref="G29" r:id="rId22" display="https://www.digikey.com/en/supplier-centers/vishay-dale" xr:uid="{00000000-0004-0000-0000-000017000000}"/>
    <hyperlink ref="G30" r:id="rId23" display="https://www.digikey.com/en/supplier-centers/vishay-dale" xr:uid="{00000000-0004-0000-0000-000018000000}"/>
    <hyperlink ref="G32" r:id="rId24" display="https://www.digikey.com/en/supplier-centers/vishay-dale" xr:uid="{00000000-0004-0000-0000-000019000000}"/>
    <hyperlink ref="G33" r:id="rId25" display="https://www.digikey.com/en/supplier-centers/yageo" xr:uid="{00000000-0004-0000-0000-00001A000000}"/>
    <hyperlink ref="G34" r:id="rId26" display="https://www.digikey.com/en/supplier-centers/stackpole-electronics" xr:uid="{00000000-0004-0000-0000-00001B000000}"/>
    <hyperlink ref="G37" r:id="rId27" display="https://www.digikey.com/en/supplier-centers/texas-instruments" xr:uid="{00000000-0004-0000-0000-00001D000000}"/>
    <hyperlink ref="G38" r:id="rId28" display="https://www.digikey.com/en/supplier-centers/stmicroelectronics" xr:uid="{00000000-0004-0000-0000-00001E000000}"/>
    <hyperlink ref="G45" r:id="rId29" display="https://lcsc.com/brand-detail/853.html" xr:uid="{00000000-0004-0000-0000-00001F000000}"/>
    <hyperlink ref="G44" r:id="rId30" display="https://www.digikey.com/en/supplier-centers/analog-devices" xr:uid="{00000000-0004-0000-0000-000020000000}"/>
    <hyperlink ref="G25" r:id="rId31" display="https://lcsc.com/brand-detail/396.html" xr:uid="{00000000-0004-0000-0000-000021000000}"/>
    <hyperlink ref="G26" r:id="rId32" display="https://www.digikey.com/en/supplier-centers/te-connectivity-amp" xr:uid="{00000000-0004-0000-0000-000022000000}"/>
    <hyperlink ref="G36" r:id="rId33" display="https://lcsc.com/brand-detail/877.html" xr:uid="{00000000-0004-0000-0000-000023000000}"/>
    <hyperlink ref="N5" r:id="rId34" xr:uid="{00000000-0004-0000-0000-000025000000}"/>
    <hyperlink ref="N7" r:id="rId35" xr:uid="{00000000-0004-0000-0000-000026000000}"/>
    <hyperlink ref="N6" r:id="rId36" xr:uid="{00000000-0004-0000-0000-000027000000}"/>
    <hyperlink ref="N3" r:id="rId37" xr:uid="{00000000-0004-0000-0000-000028000000}"/>
    <hyperlink ref="N4" r:id="rId38" xr:uid="{00000000-0004-0000-0000-000029000000}"/>
    <hyperlink ref="N8" r:id="rId39" xr:uid="{00000000-0004-0000-0000-00002B000000}"/>
    <hyperlink ref="N11" r:id="rId40" xr:uid="{00000000-0004-0000-0000-00002C000000}"/>
    <hyperlink ref="N12" r:id="rId41" xr:uid="{00000000-0004-0000-0000-00002D000000}"/>
    <hyperlink ref="N18" r:id="rId42" xr:uid="{00000000-0004-0000-0000-00002E000000}"/>
    <hyperlink ref="N19" r:id="rId43" xr:uid="{00000000-0004-0000-0000-00002F000000}"/>
    <hyperlink ref="N21" r:id="rId44" xr:uid="{00000000-0004-0000-0000-000030000000}"/>
    <hyperlink ref="N23" r:id="rId45" xr:uid="{00000000-0004-0000-0000-000031000000}"/>
    <hyperlink ref="N22" r:id="rId46" xr:uid="{00000000-0004-0000-0000-000032000000}"/>
    <hyperlink ref="N29" r:id="rId47" xr:uid="{00000000-0004-0000-0000-000033000000}"/>
    <hyperlink ref="N30" r:id="rId48" xr:uid="{00000000-0004-0000-0000-000034000000}"/>
    <hyperlink ref="N32" r:id="rId49" xr:uid="{00000000-0004-0000-0000-000035000000}"/>
    <hyperlink ref="N33" r:id="rId50" xr:uid="{00000000-0004-0000-0000-000036000000}"/>
    <hyperlink ref="N34" r:id="rId51" xr:uid="{00000000-0004-0000-0000-000037000000}"/>
    <hyperlink ref="N45" r:id="rId52" xr:uid="{00000000-0004-0000-0000-000038000000}"/>
    <hyperlink ref="N46" r:id="rId53" xr:uid="{00000000-0004-0000-0000-000039000000}"/>
    <hyperlink ref="N47" r:id="rId54" xr:uid="{00000000-0004-0000-0000-00003A000000}"/>
    <hyperlink ref="N49" r:id="rId55" xr:uid="{00000000-0004-0000-0000-00003B000000}"/>
    <hyperlink ref="N48" r:id="rId56" xr:uid="{00000000-0004-0000-0000-00003C000000}"/>
    <hyperlink ref="N41" r:id="rId57" xr:uid="{00000000-0004-0000-0000-00003D000000}"/>
    <hyperlink ref="N20" r:id="rId58" xr:uid="{00000000-0004-0000-0000-000040000000}"/>
    <hyperlink ref="N25" r:id="rId59" xr:uid="{00000000-0004-0000-0000-000041000000}"/>
    <hyperlink ref="N27" r:id="rId60" xr:uid="{00000000-0004-0000-0000-000042000000}"/>
    <hyperlink ref="N28" r:id="rId61" xr:uid="{00000000-0004-0000-0000-000043000000}"/>
    <hyperlink ref="N26" r:id="rId62" xr:uid="{00000000-0004-0000-0000-000044000000}"/>
    <hyperlink ref="N31" r:id="rId63" xr:uid="{00000000-0004-0000-0000-000045000000}"/>
    <hyperlink ref="N35" r:id="rId64" xr:uid="{00000000-0004-0000-0000-000046000000}"/>
    <hyperlink ref="N36" r:id="rId65" xr:uid="{00000000-0004-0000-0000-000048000000}"/>
    <hyperlink ref="N39" r:id="rId66" xr:uid="{00000000-0004-0000-0000-000049000000}"/>
    <hyperlink ref="N40" r:id="rId67" xr:uid="{00000000-0004-0000-0000-00004A000000}"/>
    <hyperlink ref="N42" r:id="rId68" xr:uid="{00000000-0004-0000-0000-00004B000000}"/>
    <hyperlink ref="N9" r:id="rId69" xr:uid="{00000000-0004-0000-0000-000050000000}"/>
    <hyperlink ref="N10" r:id="rId70" xr:uid="{00000000-0004-0000-0000-000051000000}"/>
    <hyperlink ref="N13" r:id="rId71" xr:uid="{00000000-0004-0000-0000-000052000000}"/>
    <hyperlink ref="N17" r:id="rId72" xr:uid="{00000000-0004-0000-0000-000053000000}"/>
    <hyperlink ref="N38" r:id="rId73" xr:uid="{00000000-0004-0000-0000-000054000000}"/>
    <hyperlink ref="N44" r:id="rId74" display="Arrow" xr:uid="{AAF39ACB-A7AC-484B-B224-124500C7C948}"/>
    <hyperlink ref="N43" r:id="rId75" xr:uid="{93767DC1-76BD-4812-92D3-31DF55CAE757}"/>
    <hyperlink ref="N14" r:id="rId76" xr:uid="{1CA1F199-C751-4E3D-B599-7F46300EC8E2}"/>
    <hyperlink ref="N15" r:id="rId77" xr:uid="{A81DC36C-4D25-4DD5-8962-314246BACF6E}"/>
    <hyperlink ref="N16" r:id="rId78" xr:uid="{0C9817CB-5500-4AF3-A3FA-853F2A7E6F84}"/>
    <hyperlink ref="N24" r:id="rId79" xr:uid="{CBB3FAEE-1EF9-4176-8549-D365D3639004}"/>
    <hyperlink ref="N37" r:id="rId80" xr:uid="{FC644F4E-65BD-48B8-9521-2002184B0D09}"/>
  </hyperlinks>
  <pageMargins left="0.7" right="0.7" top="0.75" bottom="0.75" header="0.3" footer="0.3"/>
  <pageSetup orientation="portrait" r:id="rId8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28843A6-939A-4D81-986F-F3619153DF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P53</xm:sqref>
        </x14:conditionalFormatting>
        <x14:conditionalFormatting xmlns:xm="http://schemas.microsoft.com/office/excel/2006/main">
          <x14:cfRule type="dataBar" id="{36ECBF5D-EFFC-4768-AC2E-9F5CCB8EA1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R52:R53</xm:sqref>
        </x14:conditionalFormatting>
        <x14:conditionalFormatting xmlns:xm="http://schemas.microsoft.com/office/excel/2006/main">
          <x14:cfRule type="dataBar" id="{8043E1D2-A386-4972-9379-8F1175F4CD5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S51</xm:sqref>
        </x14:conditionalFormatting>
        <x14:conditionalFormatting xmlns:xm="http://schemas.microsoft.com/office/excel/2006/main">
          <x14:cfRule type="dataBar" id="{568B2A70-A44C-42B7-B5F8-9C8E28B376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S50</xm:sqref>
        </x14:conditionalFormatting>
        <x14:conditionalFormatting xmlns:xm="http://schemas.microsoft.com/office/excel/2006/main">
          <x14:cfRule type="dataBar" id="{B802BE45-AE6E-4AFB-92D7-CAE7DD159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P3:P49</xm:sqref>
        </x14:conditionalFormatting>
        <x14:conditionalFormatting xmlns:xm="http://schemas.microsoft.com/office/excel/2006/main">
          <x14:cfRule type="dataBar" id="{423AC320-90C5-4685-9B12-A5EE24B441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R3:R49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user</cp:lastModifiedBy>
  <dcterms:created xsi:type="dcterms:W3CDTF">2021-04-15T08:46:21Z</dcterms:created>
  <dcterms:modified xsi:type="dcterms:W3CDTF">2021-12-03T09:38:08Z</dcterms:modified>
</cp:coreProperties>
</file>