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<sst xmlns="http://schemas.openxmlformats.org/spreadsheetml/2006/main" count="519" uniqueCount="334">
  <si>
    <t>Bill of Material (BOM) for  Francisco Gimenez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</si>
  <si>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</si>
  <si>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</si>
  <si>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</si>
  <si>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</si>
  <si>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</si>
  <si>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</si>
  <si>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</si>
  <si>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</si>
  <si>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</si>
  <si>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</si>
  <si>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LCSC/MOQ(1 Board)</t>
  </si>
  <si>
    <t>LCSC/MOQ(5 Board)</t>
  </si>
  <si>
    <t>Quantity (Per Board)</t>
  </si>
  <si>
    <t>Quantity (5 boards)</t>
  </si>
  <si>
    <t>LCSC Link</t>
  </si>
  <si>
    <t>Unit Cost(1)</t>
  </si>
  <si>
    <t>Total Cost(1)</t>
  </si>
  <si>
    <t>Unit Cost (5 Boards)</t>
  </si>
  <si>
    <t>Total Cost (5)</t>
  </si>
  <si>
    <t>Remarks</t>
  </si>
  <si>
    <t>Capacitors</t>
  </si>
  <si>
    <t>CAP CER 0.1UF 50V X7R 0603</t>
  </si>
  <si>
    <t>C1, C11, C13, C14, C15, C17, C21, C32, C36, C51, C53, CF1, CF3</t>
  </si>
  <si>
    <t>CAP-0603</t>
  </si>
  <si>
    <t>CL10B104KB8NNNL</t>
  </si>
  <si>
    <t>Samsung Electro-Mechanics</t>
  </si>
  <si>
    <t>C913912</t>
  </si>
  <si>
    <t>---------------</t>
  </si>
  <si>
    <t>0.1uF</t>
  </si>
  <si>
    <t>LCSC</t>
  </si>
  <si>
    <t>CAP CER 1UF 25V X5R 0603</t>
  </si>
  <si>
    <t>C3, C4, C16, C39, C41, C50, C52</t>
  </si>
  <si>
    <t>CL10A105KA8NNNC</t>
  </si>
  <si>
    <t>C5673</t>
  </si>
  <si>
    <t>1uF</t>
  </si>
  <si>
    <t>CAP CER 10UF 25V X5R 0603</t>
  </si>
  <si>
    <t>C6, C7, C12, C31, C35, CF2</t>
  </si>
  <si>
    <t>TMK107BBJ106MA-T</t>
  </si>
  <si>
    <t>Taiyo Yuden</t>
  </si>
  <si>
    <t>C386081</t>
  </si>
  <si>
    <t>10uF</t>
  </si>
  <si>
    <t>CAP CER 4.7UF 25V X5R 0603</t>
  </si>
  <si>
    <t>C33, C34</t>
  </si>
  <si>
    <t>CL10A475KA8NQNC</t>
  </si>
  <si>
    <t>C69335</t>
  </si>
  <si>
    <t>4.7uF</t>
  </si>
  <si>
    <t>CAP CER 1000PF 25V C0G/NPO 0603</t>
  </si>
  <si>
    <t>C42, C54</t>
  </si>
  <si>
    <t>Custom</t>
  </si>
  <si>
    <t>CC0603JRNPO8BN102</t>
  </si>
  <si>
    <t>Yageo</t>
  </si>
  <si>
    <t>C309470</t>
  </si>
  <si>
    <t>1nF</t>
  </si>
  <si>
    <t>CAP ALUM 470UF 20% 25V SMD</t>
  </si>
  <si>
    <t>C37, C38</t>
  </si>
  <si>
    <t>UCD1E471MNL1GS</t>
  </si>
  <si>
    <t>Nichicon</t>
  </si>
  <si>
    <t>C249933</t>
  </si>
  <si>
    <t>470uF</t>
  </si>
  <si>
    <t>CAP CER 2.2UF 25V X5R 0603</t>
  </si>
  <si>
    <t>C5</t>
  </si>
  <si>
    <t>CC0603KRX5R8BB225</t>
  </si>
  <si>
    <t>C309478</t>
  </si>
  <si>
    <t>2.2uF</t>
  </si>
  <si>
    <t>CAP CER 22UF 35V X5R 0805</t>
  </si>
  <si>
    <t>C#1, C#2</t>
  </si>
  <si>
    <t>Cap0805</t>
  </si>
  <si>
    <t>C2012X5R1V226MT000E</t>
  </si>
  <si>
    <t xml:space="preserve">Samwha </t>
  </si>
  <si>
    <t>C513764</t>
  </si>
  <si>
    <t>-----------</t>
  </si>
  <si>
    <t>22uF</t>
  </si>
  <si>
    <t xml:space="preserve">Low Voltage rating </t>
  </si>
  <si>
    <t>Diode</t>
  </si>
  <si>
    <t>DIODE SCHOTTKY 40V 3A SMA</t>
  </si>
  <si>
    <t>D1, D2</t>
  </si>
  <si>
    <t>DO-214AC</t>
  </si>
  <si>
    <t>CMSH3-40MA TR13 PBFREE</t>
  </si>
  <si>
    <t>Central Semiconductor Corp</t>
  </si>
  <si>
    <t>-</t>
  </si>
  <si>
    <t xml:space="preserve">DIODE GEN PURP 50V 1A SMA
</t>
  </si>
  <si>
    <t>D3</t>
  </si>
  <si>
    <t>SMA</t>
  </si>
  <si>
    <t>S1A-13-F</t>
  </si>
  <si>
    <t>Diodes Incorporated</t>
  </si>
  <si>
    <t>C150735</t>
  </si>
  <si>
    <t>DIODE SCHOTTKY 5A 40V SMB</t>
  </si>
  <si>
    <t>D6</t>
  </si>
  <si>
    <t>SMB</t>
  </si>
  <si>
    <t>SS54B-HF</t>
  </si>
  <si>
    <t>Comchip Technology</t>
  </si>
  <si>
    <t>C32513</t>
  </si>
  <si>
    <t>SS54B</t>
  </si>
  <si>
    <t>Footprint Equivalent Alternative</t>
  </si>
  <si>
    <t>LED</t>
  </si>
  <si>
    <t>Yellow 2 x 1.25 x 1.1 mm 130° Water Clear 112 mcd 1.8 V LED Surface Mount</t>
  </si>
  <si>
    <t>LED1</t>
  </si>
  <si>
    <t>LED 0805</t>
  </si>
  <si>
    <t>LTST-C170KSKT</t>
  </si>
  <si>
    <t>Vishay Lite-On</t>
  </si>
  <si>
    <t>C125091</t>
  </si>
  <si>
    <t>LED BLUE 0805 SMD</t>
  </si>
  <si>
    <t>LED2</t>
  </si>
  <si>
    <t>17-21/BHC-XL2M2TY/3T</t>
  </si>
  <si>
    <t>Everlight Elec</t>
  </si>
  <si>
    <t>C72035</t>
  </si>
  <si>
    <t>LED GREEN 574nm 2-Pin Chip 0805 SMD</t>
  </si>
  <si>
    <t>LED3</t>
  </si>
  <si>
    <t>LTST-C171KGKT</t>
  </si>
  <si>
    <t>C98224</t>
  </si>
  <si>
    <t>LED GREEN CLEAR CHIP SMD</t>
  </si>
  <si>
    <t>LED4, LED5</t>
  </si>
  <si>
    <t>LED 0402</t>
  </si>
  <si>
    <t>XZVG68W-2</t>
  </si>
  <si>
    <t>SunLED</t>
  </si>
  <si>
    <t>C434446</t>
  </si>
  <si>
    <t>SZYY0402G</t>
  </si>
  <si>
    <t>Inductor</t>
  </si>
  <si>
    <t>FIXED IND 3.3UH 8A 11.8 MOHM SMD</t>
  </si>
  <si>
    <t>L1, L3</t>
  </si>
  <si>
    <t>74437368033</t>
  </si>
  <si>
    <t>Würth Elektronik</t>
  </si>
  <si>
    <t>----------</t>
  </si>
  <si>
    <t>3.3uH</t>
  </si>
  <si>
    <t>Custom Supplier</t>
  </si>
  <si>
    <t>Part Not available on LCSC. Exact part is compulsory.</t>
  </si>
  <si>
    <t>FIXED IND 10UH 2.5A 43.7 MOHM</t>
  </si>
  <si>
    <t>L2</t>
  </si>
  <si>
    <t>SLF10145T-100M2R5-PF</t>
  </si>
  <si>
    <t>TDK Corporation</t>
  </si>
  <si>
    <t>C96116</t>
  </si>
  <si>
    <t>10uH</t>
  </si>
  <si>
    <t>Transistor</t>
  </si>
  <si>
    <t>TRANS NPN 40V 0.6A SMD SOT23-3</t>
  </si>
  <si>
    <t>Q1, Q2</t>
  </si>
  <si>
    <t>SOT-23</t>
  </si>
  <si>
    <t>MMBT2222A-7-F</t>
  </si>
  <si>
    <t>C94515</t>
  </si>
  <si>
    <t>MOSFET P-CH 12V 2.6A SUPERSOT3</t>
  </si>
  <si>
    <t>Q4</t>
  </si>
  <si>
    <t>SuperSOT-3</t>
  </si>
  <si>
    <t>FDN306P</t>
  </si>
  <si>
    <t>ON Semiconductor</t>
  </si>
  <si>
    <t>TRANS PNP 40V 600MA SOT23-3</t>
  </si>
  <si>
    <t>Q3</t>
  </si>
  <si>
    <t>MMBT4403LT1G</t>
  </si>
  <si>
    <t>C78864</t>
  </si>
  <si>
    <t>Resistors</t>
  </si>
  <si>
    <t>RES SMD 100 OHM 1% 1/4W 0603</t>
  </si>
  <si>
    <t>R1, R9, R10, R15</t>
  </si>
  <si>
    <t>RES-0603</t>
  </si>
  <si>
    <t>RCA0603100RFKEAHP</t>
  </si>
  <si>
    <t>Vishay Dale</t>
  </si>
  <si>
    <t>C491196</t>
  </si>
  <si>
    <t>ERJUP3J101V</t>
  </si>
  <si>
    <t>100R</t>
  </si>
  <si>
    <t>Out of Stock. Footprint Equivalent Alternative</t>
  </si>
  <si>
    <t>RES SMD 20K OHM 1% 1/4W 0603</t>
  </si>
  <si>
    <t>R2</t>
  </si>
  <si>
    <t>ESR03EZPF2002</t>
  </si>
  <si>
    <t>Rohm Semiconductor</t>
  </si>
  <si>
    <t xml:space="preserve">C105575
</t>
  </si>
  <si>
    <t xml:space="preserve">RC0603FR-0720KL
</t>
  </si>
  <si>
    <t>20K</t>
  </si>
  <si>
    <t>RES SMD 10K OHM 5% 1/5W 0603</t>
  </si>
  <si>
    <t>R3, R4, R11, R12, R13, R32, RF1</t>
  </si>
  <si>
    <t>CRGH0603J10K</t>
  </si>
  <si>
    <t>TE Connectivity Passive Product</t>
  </si>
  <si>
    <t>C161787</t>
  </si>
  <si>
    <t>ERJPB3B1002V</t>
  </si>
  <si>
    <t>10K</t>
  </si>
  <si>
    <t>RES SMD 301K OHM 1% 1/10W 0603</t>
  </si>
  <si>
    <t>R5</t>
  </si>
  <si>
    <t>CRCW0603301KFKEB</t>
  </si>
  <si>
    <t>C23026</t>
  </si>
  <si>
    <t>0603WAF3013T5E</t>
  </si>
  <si>
    <t>301k</t>
  </si>
  <si>
    <t>RES SMD 100K OHM 5% 1/5W 0603</t>
  </si>
  <si>
    <t>R6, R36, R37</t>
  </si>
  <si>
    <t>CRGH0603J100K</t>
  </si>
  <si>
    <t>C491207</t>
  </si>
  <si>
    <t>ERJUP3J104V</t>
  </si>
  <si>
    <t>100K</t>
  </si>
  <si>
    <t>RES SMD 8.2K OHM 5% 1/4W 0603</t>
  </si>
  <si>
    <t>R7</t>
  </si>
  <si>
    <t>ERJ-PA3J822V</t>
  </si>
  <si>
    <t>Panasonic Electronic Components</t>
  </si>
  <si>
    <t xml:space="preserve">C445835
</t>
  </si>
  <si>
    <t>8.2K</t>
  </si>
  <si>
    <t>RES SMD 54.9K OHM 1% 1/10W 0603</t>
  </si>
  <si>
    <t>R8</t>
  </si>
  <si>
    <t>RC0603FR-0754K9L</t>
  </si>
  <si>
    <t>YAGEO</t>
  </si>
  <si>
    <t>C185321</t>
  </si>
  <si>
    <t>54.9K</t>
  </si>
  <si>
    <t>RES SMD 470K OHM 5% 1/10W 0603</t>
  </si>
  <si>
    <t>R14</t>
  </si>
  <si>
    <t>AC0603JR-07470KL</t>
  </si>
  <si>
    <t xml:space="preserve">C144601
</t>
  </si>
  <si>
    <t>470K</t>
  </si>
  <si>
    <t>RES SMD 1K OHM 1% 1/10W 0603</t>
  </si>
  <si>
    <t>R16</t>
  </si>
  <si>
    <t>RC0603FR-071KL</t>
  </si>
  <si>
    <t>C22548</t>
  </si>
  <si>
    <t>1K</t>
  </si>
  <si>
    <t>RES 0.05 OHM 1% 1/2W 2010</t>
  </si>
  <si>
    <t>R26</t>
  </si>
  <si>
    <t>RES 2010</t>
  </si>
  <si>
    <t>WSL2010R0500FEA</t>
  </si>
  <si>
    <t xml:space="preserve"> 
Vishay Dale</t>
  </si>
  <si>
    <t>0.05R</t>
  </si>
  <si>
    <t>RES SMD 536K OHM 1% 1/10W 0603</t>
  </si>
  <si>
    <t>R27</t>
  </si>
  <si>
    <t>CRCW0603536KFKEA</t>
  </si>
  <si>
    <t>C23200</t>
  </si>
  <si>
    <t>0603WAF5363T5E</t>
  </si>
  <si>
    <t>536K</t>
  </si>
  <si>
    <t>RES SMD 453K OHM 1% 1/10W 0603</t>
  </si>
  <si>
    <t>R28</t>
  </si>
  <si>
    <t>RC0603FR-07453KL</t>
  </si>
  <si>
    <t>C25818</t>
  </si>
  <si>
    <t>0603WAF4533T5E</t>
  </si>
  <si>
    <t>453K</t>
  </si>
  <si>
    <t>RES 5.1K OHM 1% 1/10W 0603</t>
  </si>
  <si>
    <t>R29, R30, R77, R78</t>
  </si>
  <si>
    <t>RMCF0603FT5K10</t>
  </si>
  <si>
    <t>Stackpole Electronics Inc</t>
  </si>
  <si>
    <t>C156350</t>
  </si>
  <si>
    <t>RS-03K5101FT</t>
  </si>
  <si>
    <t>5.1K</t>
  </si>
  <si>
    <t>Switch</t>
  </si>
  <si>
    <t>SWITCH TACTILE SPST-NO 0.05A 12V</t>
  </si>
  <si>
    <t>SW1</t>
  </si>
  <si>
    <t>B3U-1000P</t>
  </si>
  <si>
    <t xml:space="preserve">
Omron Electronics Inc-EMC Div</t>
  </si>
  <si>
    <t>C231329</t>
  </si>
  <si>
    <t>ICS</t>
  </si>
  <si>
    <t>RX TXRX MOD WIFI SURFACE MOUNT</t>
  </si>
  <si>
    <t>U1</t>
  </si>
  <si>
    <t>ESP32-WROOM-32E(4MB)</t>
  </si>
  <si>
    <t>Espressif Systems</t>
  </si>
  <si>
    <t>C701341</t>
  </si>
  <si>
    <t>IC REG BUCK ADJ 5A TSOT23-6</t>
  </si>
  <si>
    <t>U3</t>
  </si>
  <si>
    <t>SOT 23-6</t>
  </si>
  <si>
    <t>TPS565208DDCT</t>
  </si>
  <si>
    <t>Texas Instruments</t>
  </si>
  <si>
    <t>Out of Stock (LCSC, digikey and Mouser). Exact part is compulsory</t>
  </si>
  <si>
    <t>IC REG LINEAR 3.3V 1A DPAK</t>
  </si>
  <si>
    <t>U2</t>
  </si>
  <si>
    <t>DPAK</t>
  </si>
  <si>
    <t>LDF33DT-TR</t>
  </si>
  <si>
    <t>STMicroelectronics</t>
  </si>
  <si>
    <t>Quote from Kevin</t>
  </si>
  <si>
    <t>IC OR CTRLR SRC SELECT TSOT23-6</t>
  </si>
  <si>
    <t>U4</t>
  </si>
  <si>
    <t>TSOT-23-6</t>
  </si>
  <si>
    <t>LTC4412IS6#TRPBF</t>
  </si>
  <si>
    <t xml:space="preserve">
Analog Devices Inc.</t>
  </si>
  <si>
    <t>LOAD CELL AMP HX711</t>
  </si>
  <si>
    <t>U6</t>
  </si>
  <si>
    <t>SOP-16</t>
  </si>
  <si>
    <t>HX711</t>
  </si>
  <si>
    <t>Avia Semicon (Xiamen)</t>
  </si>
  <si>
    <t xml:space="preserve">C43656
</t>
  </si>
  <si>
    <t>IC BUF NON-INVERT 5.5V SOT23-5</t>
  </si>
  <si>
    <t>U7, U8, U19, U10</t>
  </si>
  <si>
    <t>SOT-23-5</t>
  </si>
  <si>
    <t>SN74LV1T34DBVR</t>
  </si>
  <si>
    <t>C100024</t>
  </si>
  <si>
    <t>IC PWR SWITCH P-CHAN 1:1 6TSOP</t>
  </si>
  <si>
    <t>U14</t>
  </si>
  <si>
    <t>6-TSOP</t>
  </si>
  <si>
    <t>SI3865DDV-T1-GE3</t>
  </si>
  <si>
    <t xml:space="preserve">
Vishay Siliconix</t>
  </si>
  <si>
    <t>IC SUPERVISOR 1 CHANNEL 3SSOP</t>
  </si>
  <si>
    <t>U17</t>
  </si>
  <si>
    <t>SSOP-3</t>
  </si>
  <si>
    <t>BD48K50G-TL</t>
  </si>
  <si>
    <t xml:space="preserve">
Rohm Semiconductor</t>
  </si>
  <si>
    <t>Out of Stock (LCSC). Exact part is compulsory</t>
  </si>
  <si>
    <t>U13</t>
  </si>
  <si>
    <t>12DFN</t>
  </si>
  <si>
    <t>LT3652EDD#PBF</t>
  </si>
  <si>
    <t>Analog Devices Inc.</t>
  </si>
  <si>
    <t>Connector</t>
  </si>
  <si>
    <t>CONN RCP USB3.1 TYPEC 24P SMD RA</t>
  </si>
  <si>
    <t>J16</t>
  </si>
  <si>
    <t>2305018-2</t>
  </si>
  <si>
    <t>TE Connectivity</t>
  </si>
  <si>
    <t>C498674</t>
  </si>
  <si>
    <t>7 POS 2.54mm female header</t>
  </si>
  <si>
    <t>J1, J14, J15</t>
  </si>
  <si>
    <t>HDR_F_1X7</t>
  </si>
  <si>
    <t>------</t>
  </si>
  <si>
    <t>Aliexpress</t>
  </si>
  <si>
    <t>4 POS 2.54mm female header</t>
  </si>
  <si>
    <t>J2, J4</t>
  </si>
  <si>
    <t>HDR_F_1X4</t>
  </si>
  <si>
    <t>3 POS 2.54mm female header</t>
  </si>
  <si>
    <t>J10, J11, J12, J13, J20, J30</t>
  </si>
  <si>
    <t>HDR_F_1X3</t>
  </si>
  <si>
    <t>2 POS 2.54mm female header</t>
  </si>
  <si>
    <t>J3, J24, J25, J28, J29</t>
  </si>
  <si>
    <t>HDR_F_1X2</t>
  </si>
  <si>
    <t>Solder Bridge ON</t>
  </si>
  <si>
    <t>SB1</t>
  </si>
  <si>
    <t>Solder Bridge</t>
  </si>
  <si>
    <t>-------------</t>
  </si>
  <si>
    <t>-------</t>
  </si>
  <si>
    <t>DO NOT Mount</t>
  </si>
  <si>
    <t>Test Point ON</t>
  </si>
  <si>
    <t>P1, P2, P3, P4, P5, P6</t>
  </si>
  <si>
    <t>Test Point</t>
  </si>
  <si>
    <t>--------</t>
  </si>
  <si>
    <t>Peripherals</t>
  </si>
  <si>
    <t>Mifare 13.56Mhz RC522 RFID Card Reader Module</t>
  </si>
  <si>
    <t>RFID-RC522</t>
  </si>
  <si>
    <t>Amazon</t>
  </si>
  <si>
    <t xml:space="preserve">SG90 Servo Motor, Micro Servo 9G SG90 Kit for RC Robot Arm/Walking Helicopter Airplane Car Boat Control, Micro Servos </t>
  </si>
  <si>
    <t xml:space="preserve">SG90 </t>
  </si>
  <si>
    <t>Ulincos Momentary Push Button Switch U16F1 1NO1NC Black Metal Shell with Blue LED Ring Suitable for 16mm 5/8" Mounting Hole (Blue)</t>
  </si>
  <si>
    <t>Power On/Off Switch</t>
  </si>
  <si>
    <t>LifePO4; 7.2V; 6Ah battery.</t>
  </si>
  <si>
    <t>Battery</t>
  </si>
  <si>
    <t>12V USB-C Adapter</t>
  </si>
  <si>
    <t>Adapter</t>
  </si>
  <si>
    <t xml:space="preserve">Laod Cell </t>
  </si>
  <si>
    <t>WS2812B DIY RGB LED Ring 37 to 241 Pixels WS2812 Round Modules SK6812 5050 Built-in RGB Addressable DC5V LED Circle Arduino Ring</t>
  </si>
  <si>
    <t xml:space="preserve">RGB LED </t>
  </si>
  <si>
    <t xml:space="preserve">Total Component Cost </t>
  </si>
  <si>
    <t>Single Board Cost</t>
  </si>
  <si>
    <t xml:space="preserve">Aliexprss Shipping Charges </t>
  </si>
</sst>
</file>

<file path=xl/styles.xml><?xml version="1.0" encoding="utf-8"?>
<styleSheet xmlns="http://schemas.openxmlformats.org/spreadsheetml/2006/main">
  <numFmts count="8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  <numFmt numFmtId="178" formatCode="&quot;$&quot;#,##0.0000"/>
    <numFmt numFmtId="179" formatCode="&quot;$&quot;#,##0.00"/>
    <numFmt numFmtId="180" formatCode="_-[$$-409]* #,##0.00_ ;_-[$$-409]* \-#,##0.00\ ;_-[$$-409]* &quot;-&quot;??_ ;_-@_ "/>
    <numFmt numFmtId="181" formatCode="_(&quot;$&quot;* #,##0.0000_);_(&quot;$&quot;* \(#,##0.0000\);_(&quot;$&quot;* &quot;-&quot;??_);_(@_)"/>
  </numFmts>
  <fonts count="38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strike/>
      <sz val="10"/>
      <color rgb="FFFF0000"/>
      <name val="Calibri"/>
      <charset val="134"/>
      <scheme val="minor"/>
    </font>
    <font>
      <sz val="10"/>
      <color rgb="FF333333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0"/>
      <color theme="10"/>
      <name val="Arial"/>
      <charset val="134"/>
    </font>
    <font>
      <u/>
      <sz val="10"/>
      <color theme="4" tint="-0.249977111117893"/>
      <name val="Calibri"/>
      <charset val="134"/>
      <scheme val="minor"/>
    </font>
    <font>
      <u/>
      <sz val="10"/>
      <color rgb="FF800080"/>
      <name val="Arial"/>
      <charset val="134"/>
    </font>
    <font>
      <b/>
      <sz val="14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24" fillId="10" borderId="0" applyNumberFormat="0" applyBorder="0" applyAlignment="0" applyProtection="0">
      <alignment vertical="center"/>
    </xf>
    <xf numFmtId="177" fontId="21" fillId="0" borderId="0" applyFont="0" applyFill="0" applyBorder="0" applyAlignment="0" applyProtection="0">
      <alignment vertical="center"/>
    </xf>
    <xf numFmtId="176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top"/>
      <protection locked="0"/>
    </xf>
    <xf numFmtId="0" fontId="19" fillId="17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5" fillId="23" borderId="46" applyNumberFormat="0" applyAlignment="0" applyProtection="0">
      <alignment vertical="center"/>
    </xf>
    <xf numFmtId="0" fontId="20" fillId="0" borderId="41" applyNumberFormat="0" applyFill="0" applyAlignment="0" applyProtection="0">
      <alignment vertical="center"/>
    </xf>
    <xf numFmtId="0" fontId="21" fillId="22" borderId="45" applyNumberFormat="0" applyFont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28" fillId="0" borderId="41" applyNumberFormat="0" applyFill="0" applyAlignment="0" applyProtection="0">
      <alignment vertical="center"/>
    </xf>
    <xf numFmtId="0" fontId="25" fillId="0" borderId="4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7" fillId="14" borderId="42" applyNumberFormat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36" fillId="20" borderId="47" applyNumberFormat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33" fillId="20" borderId="42" applyNumberFormat="0" applyAlignment="0" applyProtection="0">
      <alignment vertical="center"/>
    </xf>
    <xf numFmtId="0" fontId="30" fillId="0" borderId="44" applyNumberFormat="0" applyFill="0" applyAlignment="0" applyProtection="0">
      <alignment vertical="center"/>
    </xf>
    <xf numFmtId="0" fontId="29" fillId="0" borderId="43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</cellStyleXfs>
  <cellXfs count="183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6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7" fillId="0" borderId="7" xfId="7" applyFont="1" applyBorder="1" applyAlignment="1" applyProtection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top"/>
    </xf>
    <xf numFmtId="0" fontId="6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11" xfId="7" applyFont="1" applyBorder="1" applyAlignment="1" applyProtection="1">
      <alignment horizontal="center" vertical="center"/>
    </xf>
    <xf numFmtId="0" fontId="7" fillId="0" borderId="11" xfId="7" applyFont="1" applyBorder="1" applyAlignment="1" applyProtection="1">
      <alignment horizontal="center" vertical="center" wrapText="1"/>
    </xf>
    <xf numFmtId="0" fontId="5" fillId="3" borderId="10" xfId="0" applyFont="1" applyFill="1" applyBorder="1" applyAlignment="1">
      <alignment horizontal="left" vertical="top"/>
    </xf>
    <xf numFmtId="0" fontId="6" fillId="3" borderId="11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3" borderId="15" xfId="0" applyFont="1" applyFill="1" applyBorder="1" applyAlignment="1">
      <alignment horizontal="left" vertical="top"/>
    </xf>
    <xf numFmtId="0" fontId="6" fillId="3" borderId="16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7" fillId="0" borderId="17" xfId="7" applyFont="1" applyBorder="1" applyAlignment="1" applyProtection="1">
      <alignment horizontal="center" vertical="center" wrapText="1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left" vertical="top"/>
    </xf>
    <xf numFmtId="0" fontId="6" fillId="0" borderId="1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7" fillId="0" borderId="19" xfId="7" applyFont="1" applyBorder="1" applyAlignment="1" applyProtection="1">
      <alignment horizontal="center" vertical="center"/>
    </xf>
    <xf numFmtId="0" fontId="5" fillId="0" borderId="12" xfId="0" applyFont="1" applyBorder="1" applyAlignment="1">
      <alignment horizontal="left" vertical="top"/>
    </xf>
    <xf numFmtId="0" fontId="6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7" fillId="4" borderId="13" xfId="7" applyFont="1" applyFill="1" applyBorder="1" applyAlignment="1" applyProtection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6" fillId="0" borderId="7" xfId="0" applyFont="1" applyBorder="1" applyAlignment="1">
      <alignment horizontal="center" vertical="center"/>
    </xf>
    <xf numFmtId="0" fontId="7" fillId="4" borderId="7" xfId="7" applyFont="1" applyFill="1" applyBorder="1" applyAlignment="1" applyProtection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7" fillId="4" borderId="11" xfId="7" applyFont="1" applyFill="1" applyBorder="1" applyAlignment="1" applyProtection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left" vertical="top"/>
    </xf>
    <xf numFmtId="0" fontId="6" fillId="0" borderId="17" xfId="0" applyFont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7" fillId="4" borderId="17" xfId="7" applyFont="1" applyFill="1" applyBorder="1" applyAlignment="1" applyProtection="1">
      <alignment horizontal="center" vertical="center" wrapText="1"/>
    </xf>
    <xf numFmtId="0" fontId="4" fillId="0" borderId="2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5" fillId="0" borderId="15" xfId="0" applyFont="1" applyBorder="1" applyAlignment="1">
      <alignment horizontal="left" vertical="top"/>
    </xf>
    <xf numFmtId="0" fontId="6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7" fillId="4" borderId="16" xfId="7" applyFont="1" applyFill="1" applyBorder="1" applyAlignment="1" applyProtection="1">
      <alignment horizontal="center" vertical="center" wrapText="1"/>
    </xf>
    <xf numFmtId="0" fontId="4" fillId="0" borderId="24" xfId="0" applyFont="1" applyBorder="1" applyAlignment="1">
      <alignment horizontal="center" vertical="center"/>
    </xf>
    <xf numFmtId="0" fontId="7" fillId="0" borderId="19" xfId="7" applyFont="1" applyBorder="1" applyAlignment="1" applyProtection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7" fillId="3" borderId="11" xfId="7" applyFont="1" applyFill="1" applyBorder="1" applyAlignment="1" applyProtection="1">
      <alignment horizontal="center" vertical="center"/>
    </xf>
    <xf numFmtId="0" fontId="7" fillId="0" borderId="16" xfId="7" applyFont="1" applyBorder="1" applyAlignment="1" applyProtection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8" fillId="3" borderId="19" xfId="0" applyFont="1" applyFill="1" applyBorder="1" applyAlignment="1">
      <alignment horizontal="center" vertical="center"/>
    </xf>
    <xf numFmtId="0" fontId="7" fillId="4" borderId="19" xfId="7" applyFont="1" applyFill="1" applyBorder="1" applyAlignment="1" applyProtection="1">
      <alignment horizontal="center" vertical="center" wrapText="1"/>
    </xf>
    <xf numFmtId="0" fontId="5" fillId="0" borderId="10" xfId="0" applyFont="1" applyBorder="1" applyAlignment="1">
      <alignment horizontal="left" vertical="center"/>
    </xf>
    <xf numFmtId="0" fontId="7" fillId="4" borderId="11" xfId="7" applyFont="1" applyFill="1" applyBorder="1" applyAlignment="1" applyProtection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7" fillId="4" borderId="27" xfId="7" applyFont="1" applyFill="1" applyBorder="1" applyAlignment="1" applyProtection="1">
      <alignment horizontal="center" vertical="center"/>
    </xf>
    <xf numFmtId="0" fontId="6" fillId="0" borderId="6" xfId="0" applyFont="1" applyBorder="1" applyAlignment="1">
      <alignment horizontal="left" vertical="top"/>
    </xf>
    <xf numFmtId="0" fontId="5" fillId="0" borderId="20" xfId="0" applyFont="1" applyFill="1" applyBorder="1" applyAlignment="1">
      <alignment horizontal="center" vertical="center"/>
    </xf>
    <xf numFmtId="0" fontId="7" fillId="3" borderId="11" xfId="7" applyFont="1" applyFill="1" applyBorder="1" applyAlignment="1" applyProtection="1">
      <alignment horizontal="center" vertical="center" wrapText="1"/>
    </xf>
    <xf numFmtId="0" fontId="7" fillId="4" borderId="16" xfId="7" applyFont="1" applyFill="1" applyBorder="1" applyAlignment="1" applyProtection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8" fillId="5" borderId="10" xfId="0" applyFont="1" applyFill="1" applyBorder="1" applyAlignment="1">
      <alignment horizontal="left" vertical="top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/>
    </xf>
    <xf numFmtId="0" fontId="8" fillId="5" borderId="21" xfId="0" applyFont="1" applyFill="1" applyBorder="1" applyAlignment="1">
      <alignment horizontal="left" vertical="top" wrapText="1"/>
    </xf>
    <xf numFmtId="0" fontId="8" fillId="5" borderId="17" xfId="0" applyFont="1" applyFill="1" applyBorder="1" applyAlignment="1">
      <alignment horizontal="center" vertical="center" wrapText="1"/>
    </xf>
    <xf numFmtId="0" fontId="8" fillId="5" borderId="17" xfId="0" applyFont="1" applyFill="1" applyBorder="1" applyAlignment="1">
      <alignment horizontal="center" vertical="center"/>
    </xf>
    <xf numFmtId="0" fontId="0" fillId="0" borderId="7" xfId="0" applyBorder="1" applyAlignment="1"/>
    <xf numFmtId="0" fontId="0" fillId="0" borderId="7" xfId="0" applyBorder="1"/>
    <xf numFmtId="0" fontId="5" fillId="0" borderId="10" xfId="0" applyFont="1" applyBorder="1" applyAlignment="1">
      <alignment horizontal="left" vertical="top" wrapText="1"/>
    </xf>
    <xf numFmtId="0" fontId="0" fillId="0" borderId="11" xfId="0" applyBorder="1"/>
    <xf numFmtId="0" fontId="0" fillId="0" borderId="10" xfId="0" applyBorder="1"/>
    <xf numFmtId="0" fontId="5" fillId="0" borderId="11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0" fillId="0" borderId="15" xfId="0" applyBorder="1" applyAlignment="1">
      <alignment wrapText="1"/>
    </xf>
    <xf numFmtId="0" fontId="0" fillId="0" borderId="16" xfId="0" applyBorder="1"/>
    <xf numFmtId="0" fontId="5" fillId="0" borderId="16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78" fontId="10" fillId="0" borderId="7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178" fontId="10" fillId="0" borderId="11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78" fontId="10" fillId="0" borderId="17" xfId="0" applyNumberFormat="1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178" fontId="10" fillId="0" borderId="19" xfId="0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7" fillId="0" borderId="13" xfId="7" applyFont="1" applyBorder="1" applyAlignment="1" applyProtection="1">
      <alignment horizontal="center" vertical="center"/>
    </xf>
    <xf numFmtId="178" fontId="10" fillId="0" borderId="13" xfId="0" applyNumberFormat="1" applyFont="1" applyBorder="1" applyAlignment="1">
      <alignment horizontal="center" vertical="center"/>
    </xf>
    <xf numFmtId="0" fontId="11" fillId="0" borderId="8" xfId="7" applyBorder="1" applyAlignment="1" applyProtection="1">
      <alignment horizontal="center" vertical="center"/>
    </xf>
    <xf numFmtId="0" fontId="11" fillId="0" borderId="13" xfId="7" applyBorder="1" applyAlignment="1" applyProtection="1">
      <alignment horizontal="center" vertical="center"/>
    </xf>
    <xf numFmtId="0" fontId="11" fillId="0" borderId="11" xfId="7" applyBorder="1" applyAlignment="1" applyProtection="1">
      <alignment horizontal="center" vertical="center"/>
    </xf>
    <xf numFmtId="0" fontId="7" fillId="0" borderId="17" xfId="7" applyFont="1" applyBorder="1" applyAlignment="1" applyProtection="1">
      <alignment horizontal="center" vertical="center"/>
    </xf>
    <xf numFmtId="0" fontId="11" fillId="0" borderId="7" xfId="7" applyBorder="1" applyAlignment="1" applyProtection="1">
      <alignment horizontal="center" vertical="center"/>
    </xf>
    <xf numFmtId="178" fontId="10" fillId="0" borderId="16" xfId="0" applyNumberFormat="1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7" fillId="0" borderId="20" xfId="7" applyFont="1" applyBorder="1" applyAlignment="1" applyProtection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178" fontId="10" fillId="3" borderId="11" xfId="0" applyNumberFormat="1" applyFont="1" applyFill="1" applyBorder="1" applyAlignment="1">
      <alignment horizontal="center" vertical="center"/>
    </xf>
    <xf numFmtId="0" fontId="11" fillId="0" borderId="16" xfId="7" applyBorder="1" applyAlignment="1" applyProtection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/>
    </xf>
    <xf numFmtId="0" fontId="7" fillId="0" borderId="27" xfId="7" applyFont="1" applyBorder="1" applyAlignment="1" applyProtection="1">
      <alignment horizontal="center" vertical="center"/>
    </xf>
    <xf numFmtId="178" fontId="10" fillId="0" borderId="27" xfId="0" applyNumberFormat="1" applyFont="1" applyBorder="1" applyAlignment="1">
      <alignment horizontal="center" vertical="center"/>
    </xf>
    <xf numFmtId="0" fontId="11" fillId="3" borderId="7" xfId="7" applyFill="1" applyBorder="1" applyAlignment="1" applyProtection="1">
      <alignment horizontal="center" vertical="center"/>
    </xf>
    <xf numFmtId="178" fontId="6" fillId="0" borderId="7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178" fontId="8" fillId="5" borderId="11" xfId="0" applyNumberFormat="1" applyFont="1" applyFill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178" fontId="8" fillId="5" borderId="17" xfId="0" applyNumberFormat="1" applyFont="1" applyFill="1" applyBorder="1" applyAlignment="1">
      <alignment horizontal="center" vertical="center"/>
    </xf>
    <xf numFmtId="0" fontId="0" fillId="0" borderId="8" xfId="0" applyBorder="1"/>
    <xf numFmtId="0" fontId="5" fillId="0" borderId="8" xfId="0" applyFont="1" applyFill="1" applyBorder="1" applyAlignment="1">
      <alignment horizontal="center" vertical="center"/>
    </xf>
    <xf numFmtId="0" fontId="13" fillId="0" borderId="11" xfId="7" applyFont="1" applyBorder="1" applyAlignment="1" applyProtection="1">
      <alignment horizontal="center" vertical="center"/>
    </xf>
    <xf numFmtId="0" fontId="0" fillId="0" borderId="17" xfId="0" applyBorder="1"/>
    <xf numFmtId="0" fontId="5" fillId="0" borderId="17" xfId="0" applyFont="1" applyFill="1" applyBorder="1" applyAlignment="1">
      <alignment horizontal="center" vertical="center"/>
    </xf>
    <xf numFmtId="0" fontId="14" fillId="3" borderId="30" xfId="0" applyFont="1" applyFill="1" applyBorder="1" applyAlignment="1">
      <alignment horizontal="center" wrapText="1"/>
    </xf>
    <xf numFmtId="0" fontId="14" fillId="3" borderId="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vertical="center"/>
    </xf>
    <xf numFmtId="179" fontId="10" fillId="0" borderId="8" xfId="0" applyNumberFormat="1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179" fontId="10" fillId="0" borderId="11" xfId="0" applyNumberFormat="1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179" fontId="10" fillId="0" borderId="17" xfId="0" applyNumberFormat="1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179" fontId="10" fillId="0" borderId="20" xfId="0" applyNumberFormat="1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5" fillId="0" borderId="36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7" xfId="0" applyFont="1" applyBorder="1" applyAlignment="1">
      <alignment horizontal="center" vertical="center"/>
    </xf>
    <xf numFmtId="0" fontId="15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0" fillId="3" borderId="33" xfId="0" applyFont="1" applyFill="1" applyBorder="1" applyAlignment="1">
      <alignment horizontal="center" vertical="center"/>
    </xf>
    <xf numFmtId="0" fontId="15" fillId="0" borderId="39" xfId="0" applyFont="1" applyBorder="1" applyAlignment="1">
      <alignment horizontal="center" vertical="center"/>
    </xf>
    <xf numFmtId="179" fontId="10" fillId="0" borderId="13" xfId="0" applyNumberFormat="1" applyFont="1" applyBorder="1" applyAlignment="1">
      <alignment horizontal="center" vertical="center"/>
    </xf>
    <xf numFmtId="179" fontId="10" fillId="0" borderId="19" xfId="0" applyNumberFormat="1" applyFont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 wrapText="1"/>
    </xf>
    <xf numFmtId="179" fontId="10" fillId="0" borderId="16" xfId="0" applyNumberFormat="1" applyFont="1" applyBorder="1" applyAlignment="1">
      <alignment horizontal="center" vertical="center"/>
    </xf>
    <xf numFmtId="179" fontId="10" fillId="0" borderId="27" xfId="0" applyNumberFormat="1" applyFont="1" applyBorder="1" applyAlignment="1">
      <alignment horizontal="center" vertical="center"/>
    </xf>
    <xf numFmtId="0" fontId="15" fillId="0" borderId="40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180" fontId="17" fillId="5" borderId="33" xfId="0" applyNumberFormat="1" applyFont="1" applyFill="1" applyBorder="1" applyAlignment="1">
      <alignment horizontal="center" vertical="center"/>
    </xf>
    <xf numFmtId="180" fontId="17" fillId="5" borderId="34" xfId="0" applyNumberFormat="1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0" fontId="0" fillId="0" borderId="39" xfId="0" applyBorder="1"/>
    <xf numFmtId="0" fontId="18" fillId="0" borderId="0" xfId="0" applyFont="1" applyBorder="1"/>
    <xf numFmtId="181" fontId="0" fillId="0" borderId="0" xfId="0" applyNumberFormat="1" applyFont="1" applyBorder="1"/>
    <xf numFmtId="179" fontId="0" fillId="0" borderId="0" xfId="0" applyNumberFormat="1" applyFont="1" applyBorder="1"/>
    <xf numFmtId="179" fontId="0" fillId="0" borderId="0" xfId="0" applyNumberFormat="1" applyBorder="1"/>
    <xf numFmtId="181" fontId="0" fillId="0" borderId="0" xfId="0" applyNumberFormat="1" applyBorder="1"/>
    <xf numFmtId="0" fontId="5" fillId="0" borderId="6" xfId="0" applyFont="1" applyBorder="1" applyAlignment="1" quotePrefix="1">
      <alignment horizontal="left" vertical="center"/>
    </xf>
    <xf numFmtId="0" fontId="6" fillId="0" borderId="7" xfId="0" applyFont="1" applyBorder="1" applyAlignment="1" quotePrefix="1">
      <alignment horizontal="center" vertical="center" wrapText="1"/>
    </xf>
    <xf numFmtId="0" fontId="5" fillId="0" borderId="7" xfId="0" applyFont="1" applyBorder="1" applyAlignment="1" quotePrefix="1">
      <alignment horizontal="center" vertical="center"/>
    </xf>
    <xf numFmtId="0" fontId="5" fillId="0" borderId="8" xfId="0" applyFont="1" applyBorder="1" applyAlignment="1" quotePrefix="1">
      <alignment horizontal="center" vertical="center"/>
    </xf>
    <xf numFmtId="0" fontId="10" fillId="0" borderId="7" xfId="0" applyFont="1" applyBorder="1" applyAlignment="1" quotePrefix="1">
      <alignment horizontal="center" vertical="center"/>
    </xf>
    <xf numFmtId="0" fontId="5" fillId="0" borderId="10" xfId="0" applyFont="1" applyBorder="1" applyAlignment="1" quotePrefix="1">
      <alignment horizontal="left" vertical="top"/>
    </xf>
    <xf numFmtId="0" fontId="6" fillId="0" borderId="11" xfId="0" applyFont="1" applyBorder="1" applyAlignment="1" quotePrefix="1">
      <alignment horizontal="center" vertical="center"/>
    </xf>
    <xf numFmtId="0" fontId="5" fillId="0" borderId="11" xfId="0" applyFont="1" applyBorder="1" applyAlignment="1" quotePrefix="1">
      <alignment horizontal="center" vertical="center"/>
    </xf>
    <xf numFmtId="0" fontId="10" fillId="0" borderId="11" xfId="0" applyFont="1" applyBorder="1" applyAlignment="1" quotePrefix="1">
      <alignment horizontal="center" vertical="center"/>
    </xf>
    <xf numFmtId="0" fontId="5" fillId="3" borderId="10" xfId="0" applyFont="1" applyFill="1" applyBorder="1" applyAlignment="1" quotePrefix="1">
      <alignment horizontal="left" vertical="top"/>
    </xf>
    <xf numFmtId="0" fontId="6" fillId="3" borderId="11" xfId="0" applyFont="1" applyFill="1" applyBorder="1" applyAlignment="1" quotePrefix="1">
      <alignment horizontal="center" vertical="center"/>
    </xf>
    <xf numFmtId="0" fontId="5" fillId="3" borderId="11" xfId="0" applyFont="1" applyFill="1" applyBorder="1" applyAlignment="1" quotePrefix="1">
      <alignment horizontal="center" vertical="center"/>
    </xf>
    <xf numFmtId="0" fontId="5" fillId="3" borderId="12" xfId="0" applyFont="1" applyFill="1" applyBorder="1" applyAlignment="1" quotePrefix="1">
      <alignment horizontal="left" vertical="top"/>
    </xf>
    <xf numFmtId="0" fontId="6" fillId="3" borderId="13" xfId="0" applyFont="1" applyFill="1" applyBorder="1" applyAlignment="1" quotePrefix="1">
      <alignment horizontal="center" vertical="center"/>
    </xf>
    <xf numFmtId="0" fontId="5" fillId="3" borderId="13" xfId="0" applyFont="1" applyFill="1" applyBorder="1" applyAlignment="1" quotePrefix="1">
      <alignment horizontal="center" vertical="center"/>
    </xf>
    <xf numFmtId="0" fontId="5" fillId="0" borderId="13" xfId="0" applyFont="1" applyBorder="1" applyAlignment="1" quotePrefix="1">
      <alignment horizontal="center" vertical="center"/>
    </xf>
    <xf numFmtId="0" fontId="5" fillId="3" borderId="15" xfId="0" applyFont="1" applyFill="1" applyBorder="1" applyAlignment="1" quotePrefix="1">
      <alignment horizontal="left" vertical="top"/>
    </xf>
    <xf numFmtId="0" fontId="6" fillId="3" borderId="16" xfId="0" applyFont="1" applyFill="1" applyBorder="1" applyAlignment="1" quotePrefix="1">
      <alignment horizontal="center" vertical="center"/>
    </xf>
    <xf numFmtId="0" fontId="5" fillId="3" borderId="16" xfId="0" applyFont="1" applyFill="1" applyBorder="1" applyAlignment="1" quotePrefix="1">
      <alignment horizontal="center" vertical="center"/>
    </xf>
    <xf numFmtId="0" fontId="5" fillId="0" borderId="17" xfId="0" applyFont="1" applyBorder="1" applyAlignment="1" quotePrefix="1">
      <alignment horizontal="center" vertical="center"/>
    </xf>
    <xf numFmtId="0" fontId="10" fillId="0" borderId="17" xfId="0" applyFont="1" applyBorder="1" applyAlignment="1" quotePrefix="1">
      <alignment horizontal="center" vertical="center"/>
    </xf>
    <xf numFmtId="0" fontId="5" fillId="0" borderId="18" xfId="0" applyFont="1" applyBorder="1" applyAlignment="1" quotePrefix="1">
      <alignment horizontal="left" vertical="top"/>
    </xf>
    <xf numFmtId="0" fontId="6" fillId="0" borderId="19" xfId="0" applyFont="1" applyBorder="1" applyAlignment="1" quotePrefix="1">
      <alignment horizontal="center" vertical="center"/>
    </xf>
    <xf numFmtId="0" fontId="5" fillId="0" borderId="19" xfId="0" applyFont="1" applyBorder="1" applyAlignment="1" quotePrefix="1">
      <alignment horizontal="center" vertical="center"/>
    </xf>
    <xf numFmtId="0" fontId="5" fillId="3" borderId="20" xfId="0" applyFont="1" applyFill="1" applyBorder="1" applyAlignment="1" quotePrefix="1">
      <alignment horizontal="center" vertical="center"/>
    </xf>
    <xf numFmtId="0" fontId="5" fillId="0" borderId="12" xfId="0" applyFont="1" applyBorder="1" applyAlignment="1" quotePrefix="1">
      <alignment horizontal="left" vertical="top"/>
    </xf>
    <xf numFmtId="0" fontId="6" fillId="0" borderId="13" xfId="0" applyFont="1" applyBorder="1" applyAlignment="1" quotePrefix="1">
      <alignment horizontal="center" vertical="center"/>
    </xf>
    <xf numFmtId="0" fontId="8" fillId="3" borderId="13" xfId="0" applyFont="1" applyFill="1" applyBorder="1" applyAlignment="1" quotePrefix="1">
      <alignment horizontal="center" vertical="center"/>
    </xf>
    <xf numFmtId="0" fontId="10" fillId="0" borderId="13" xfId="0" applyFont="1" applyBorder="1" applyAlignment="1" quotePrefix="1">
      <alignment horizontal="center" vertical="center"/>
    </xf>
    <xf numFmtId="0" fontId="5" fillId="0" borderId="6" xfId="0" applyFont="1" applyBorder="1" applyAlignment="1" quotePrefix="1">
      <alignment horizontal="left" vertical="top"/>
    </xf>
    <xf numFmtId="0" fontId="6" fillId="0" borderId="7" xfId="0" applyFont="1" applyBorder="1" applyAlignment="1" quotePrefix="1">
      <alignment horizontal="center" vertical="center"/>
    </xf>
    <xf numFmtId="0" fontId="5" fillId="0" borderId="21" xfId="0" applyFont="1" applyBorder="1" applyAlignment="1" quotePrefix="1">
      <alignment horizontal="left" vertical="top"/>
    </xf>
    <xf numFmtId="0" fontId="6" fillId="0" borderId="17" xfId="0" applyFont="1" applyBorder="1" applyAlignment="1" quotePrefix="1">
      <alignment horizontal="center" vertical="center"/>
    </xf>
    <xf numFmtId="0" fontId="8" fillId="3" borderId="17" xfId="0" applyFont="1" applyFill="1" applyBorder="1" applyAlignment="1" quotePrefix="1">
      <alignment horizontal="center" vertical="center"/>
    </xf>
    <xf numFmtId="0" fontId="9" fillId="0" borderId="7" xfId="0" applyFont="1" applyBorder="1" applyAlignment="1" quotePrefix="1">
      <alignment horizontal="center" vertical="center" wrapText="1"/>
    </xf>
    <xf numFmtId="0" fontId="5" fillId="0" borderId="15" xfId="0" applyFont="1" applyBorder="1" applyAlignment="1" quotePrefix="1">
      <alignment horizontal="left" vertical="top"/>
    </xf>
    <xf numFmtId="0" fontId="6" fillId="0" borderId="16" xfId="0" applyFont="1" applyBorder="1" applyAlignment="1" quotePrefix="1">
      <alignment horizontal="center" vertical="center"/>
    </xf>
    <xf numFmtId="0" fontId="5" fillId="0" borderId="16" xfId="0" applyFont="1" applyBorder="1" applyAlignment="1" quotePrefix="1">
      <alignment horizontal="center" vertical="center"/>
    </xf>
    <xf numFmtId="0" fontId="10" fillId="0" borderId="16" xfId="0" applyFont="1" applyBorder="1" applyAlignment="1" quotePrefix="1">
      <alignment horizontal="center" vertical="center"/>
    </xf>
    <xf numFmtId="0" fontId="10" fillId="0" borderId="20" xfId="0" applyFont="1" applyBorder="1" applyAlignment="1" quotePrefix="1">
      <alignment horizontal="center" vertical="center"/>
    </xf>
    <xf numFmtId="0" fontId="5" fillId="0" borderId="20" xfId="0" applyFont="1" applyBorder="1" applyAlignment="1" quotePrefix="1">
      <alignment horizontal="center" vertical="center"/>
    </xf>
    <xf numFmtId="0" fontId="10" fillId="3" borderId="11" xfId="0" applyFont="1" applyFill="1" applyBorder="1" applyAlignment="1" quotePrefix="1">
      <alignment horizontal="center" vertical="center"/>
    </xf>
    <xf numFmtId="0" fontId="8" fillId="3" borderId="11" xfId="0" applyFont="1" applyFill="1" applyBorder="1" applyAlignment="1" quotePrefix="1">
      <alignment horizontal="center" vertical="center"/>
    </xf>
    <xf numFmtId="0" fontId="5" fillId="0" borderId="10" xfId="0" applyFont="1" applyBorder="1" applyAlignment="1" quotePrefix="1">
      <alignment vertical="center"/>
    </xf>
    <xf numFmtId="0" fontId="8" fillId="3" borderId="19" xfId="0" applyFont="1" applyFill="1" applyBorder="1" applyAlignment="1" quotePrefix="1">
      <alignment horizontal="center" vertical="center"/>
    </xf>
    <xf numFmtId="0" fontId="5" fillId="0" borderId="10" xfId="0" applyFont="1" applyBorder="1" applyAlignment="1" quotePrefix="1">
      <alignment horizontal="left" vertical="center"/>
    </xf>
    <xf numFmtId="0" fontId="10" fillId="0" borderId="11" xfId="0" applyFont="1" applyBorder="1" applyAlignment="1" quotePrefix="1">
      <alignment horizontal="center" vertical="center" wrapText="1"/>
    </xf>
    <xf numFmtId="0" fontId="8" fillId="3" borderId="16" xfId="0" applyFont="1" applyFill="1" applyBorder="1" applyAlignment="1" quotePrefix="1">
      <alignment horizontal="center" vertical="center"/>
    </xf>
    <xf numFmtId="0" fontId="5" fillId="0" borderId="26" xfId="0" applyFont="1" applyBorder="1" applyAlignment="1" quotePrefix="1">
      <alignment horizontal="left" vertical="top"/>
    </xf>
    <xf numFmtId="0" fontId="6" fillId="0" borderId="27" xfId="0" applyFont="1" applyBorder="1" applyAlignment="1" quotePrefix="1">
      <alignment horizontal="center" vertical="center"/>
    </xf>
    <xf numFmtId="0" fontId="5" fillId="0" borderId="27" xfId="0" applyFont="1" applyBorder="1" applyAlignment="1" quotePrefix="1">
      <alignment horizontal="center" vertical="center"/>
    </xf>
    <xf numFmtId="0" fontId="10" fillId="0" borderId="27" xfId="0" applyFont="1" applyBorder="1" applyAlignment="1" quotePrefix="1">
      <alignment horizontal="center" vertical="center" wrapText="1"/>
    </xf>
    <xf numFmtId="0" fontId="6" fillId="0" borderId="6" xfId="0" applyFont="1" applyBorder="1" applyAlignment="1" quotePrefix="1">
      <alignment horizontal="left" vertical="top"/>
    </xf>
    <xf numFmtId="0" fontId="8" fillId="5" borderId="10" xfId="0" applyFont="1" applyFill="1" applyBorder="1" applyAlignment="1" quotePrefix="1">
      <alignment horizontal="left" vertical="top" wrapText="1"/>
    </xf>
    <xf numFmtId="0" fontId="8" fillId="5" borderId="11" xfId="0" applyFont="1" applyFill="1" applyBorder="1" applyAlignment="1" quotePrefix="1">
      <alignment horizontal="center" vertical="center" wrapText="1"/>
    </xf>
    <xf numFmtId="0" fontId="8" fillId="5" borderId="11" xfId="0" applyFont="1" applyFill="1" applyBorder="1" applyAlignment="1" quotePrefix="1">
      <alignment horizontal="center" vertical="center"/>
    </xf>
    <xf numFmtId="178" fontId="8" fillId="5" borderId="11" xfId="0" applyNumberFormat="1" applyFont="1" applyFill="1" applyBorder="1" applyAlignment="1" quotePrefix="1">
      <alignment horizontal="center" vertical="center"/>
    </xf>
    <xf numFmtId="0" fontId="8" fillId="5" borderId="21" xfId="0" applyFont="1" applyFill="1" applyBorder="1" applyAlignment="1" quotePrefix="1">
      <alignment horizontal="left" vertical="top" wrapText="1"/>
    </xf>
    <xf numFmtId="0" fontId="8" fillId="5" borderId="17" xfId="0" applyFont="1" applyFill="1" applyBorder="1" applyAlignment="1" quotePrefix="1">
      <alignment horizontal="center" vertical="center" wrapText="1"/>
    </xf>
    <xf numFmtId="0" fontId="8" fillId="5" borderId="17" xfId="0" applyFont="1" applyFill="1" applyBorder="1" applyAlignment="1" quotePrefix="1">
      <alignment horizontal="center" vertical="center"/>
    </xf>
    <xf numFmtId="178" fontId="8" fillId="5" borderId="17" xfId="0" applyNumberFormat="1" applyFont="1" applyFill="1" applyBorder="1" applyAlignment="1" quotePrefix="1">
      <alignment horizontal="center" vertical="center"/>
    </xf>
    <xf numFmtId="0" fontId="5" fillId="0" borderId="10" xfId="0" applyFont="1" applyBorder="1" applyAlignment="1" quotePrefix="1">
      <alignment horizontal="left" vertical="top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lcsc.com/brand-detail/994.html" TargetMode="External"/><Relationship Id="rId8" Type="http://schemas.openxmlformats.org/officeDocument/2006/relationships/hyperlink" Target="https://lcsc.com/brand-detail/109.html" TargetMode="External"/><Relationship Id="rId7" Type="http://schemas.openxmlformats.org/officeDocument/2006/relationships/hyperlink" Target="https://lcsc.com/brand-detail/100.html" TargetMode="External"/><Relationship Id="rId63" Type="http://schemas.openxmlformats.org/officeDocument/2006/relationships/hyperlink" Target="https://tr.aliexpress.com/item/4000979967513.html?spm=a2g0o.productlist.0.0.2b6e354aZpPbhK&amp;algo_pvid=88c62412-23c3-46df-904e-43779b8b810b&amp;algo_exp_id=88c62412-23c3-46df-904e-43779b8b810b-0&amp;pdp_ext_f=%7B%22sku_id%22%3A%2210000013144422249%22%7D&amp;pdp_pi=-1%252" TargetMode="External"/><Relationship Id="rId62" Type="http://schemas.openxmlformats.org/officeDocument/2006/relationships/hyperlink" Target="https://www.aliexpress.com/item/4000979967513.html?spm=a2g0o.productlist.0.0.2b6e354aZpPbhK&amp;algo_pvid=88c62412-23c3-46df-904e-43779b8b810b&amp;algo_exp_id=88c62412-23c3-46df-904e-43779b8b810b-0&amp;pdp_ext_f=%7B%22sku_id%22%3A%2210000013144422249%22%7D&amp;pdp_pi=-1%25" TargetMode="External"/><Relationship Id="rId61" Type="http://schemas.openxmlformats.org/officeDocument/2006/relationships/hyperlink" Target="https://lcsc.com/product-detail/Uncategorized_Yongyu-Photoelectric-SZYY0402G_C434446.html" TargetMode="External"/><Relationship Id="rId60" Type="http://schemas.openxmlformats.org/officeDocument/2006/relationships/hyperlink" Target="https://www.digikey.com/en/supplier-centers/sunled" TargetMode="External"/><Relationship Id="rId6" Type="http://schemas.openxmlformats.org/officeDocument/2006/relationships/hyperlink" Target="https://lcsc.com/brand-detail/756.html" TargetMode="External"/><Relationship Id="rId59" Type="http://schemas.openxmlformats.org/officeDocument/2006/relationships/hyperlink" Target="https://lcsc.com/product-detail/WiFi-Modules_Espressif-Systems-ESP32-WROOM-32E-4MB_C701341.html" TargetMode="External"/><Relationship Id="rId58" Type="http://schemas.openxmlformats.org/officeDocument/2006/relationships/hyperlink" Target="https://lcsc.com/product-detail/Bipolar-Transistors-BJT_onsemi-MMBT4403LT1G_C78864.html" TargetMode="External"/><Relationship Id="rId57" Type="http://schemas.openxmlformats.org/officeDocument/2006/relationships/hyperlink" Target="https://lcsc.com/product-detail/Schottky-Barrier-Diodes-SBD_MDD-Microdiode-Electronics-SS54B_C32513.html" TargetMode="External"/><Relationship Id="rId56" Type="http://schemas.openxmlformats.org/officeDocument/2006/relationships/hyperlink" Target="https://lcsc.com/product-detail/Multilayer-Ceramic-Capacitors-MLCC-SMD-SMT_YAGEO-CC0603JRNPO8BN102_C309470.html" TargetMode="External"/><Relationship Id="rId55" Type="http://schemas.openxmlformats.org/officeDocument/2006/relationships/hyperlink" Target="https://www.amazon.com/PWR-Plus-Charger-QuickCharge-Adapter/dp/B078X1MN4Q" TargetMode="External"/><Relationship Id="rId54" Type="http://schemas.openxmlformats.org/officeDocument/2006/relationships/hyperlink" Target="https://www.amazon.com/gp/product/B01I9KDTZK" TargetMode="External"/><Relationship Id="rId53" Type="http://schemas.openxmlformats.org/officeDocument/2006/relationships/hyperlink" Target="https://www.amazon.com/ZOSKAY-DS3218-Digital-Waterproof-Control/dp/B01MU7TQV8/ref=sr_1_6?dchild=1&amp;keywords=DS3218MG&amp;qid=1593475141&amp;sr=8-6" TargetMode="External"/><Relationship Id="rId52" Type="http://schemas.openxmlformats.org/officeDocument/2006/relationships/hyperlink" Target="https://www.amazon.com/gp/product/B01CDTED80/ref=ppx_yo_dt_b_search_asin_title?ie=UTF8&amp;psc=1" TargetMode="External"/><Relationship Id="rId51" Type="http://schemas.openxmlformats.org/officeDocument/2006/relationships/hyperlink" Target="https://www.amazon.com/Qunqi-Sensor-Module-Arduino-Raspberry/dp/B07QBPGYBF/" TargetMode="External"/><Relationship Id="rId50" Type="http://schemas.openxmlformats.org/officeDocument/2006/relationships/hyperlink" Target="https://www.lcsc.com/product-detail/Chip-Resistor-Surface-Mount_YAGEO-RC0603FR-071KL_C22548.html" TargetMode="External"/><Relationship Id="rId5" Type="http://schemas.openxmlformats.org/officeDocument/2006/relationships/hyperlink" Target="https://lcsc.com/brand-detail/396.html" TargetMode="External"/><Relationship Id="rId49" Type="http://schemas.openxmlformats.org/officeDocument/2006/relationships/hyperlink" Target="https://www.lcsc.com/product-detail/Multilayer-Ceramic-Capacitors-MLCC-SMD-SMT_Samwha-Capacitor-CS2012X5R226M250NRE_C513764.html" TargetMode="External"/><Relationship Id="rId48" Type="http://schemas.openxmlformats.org/officeDocument/2006/relationships/hyperlink" Target="https://www.lcsc.com/product-detail/Light-Emitting-Diodes-LED_Lite-On-LTST-C171KGKT_C98224.html" TargetMode="External"/><Relationship Id="rId47" Type="http://schemas.openxmlformats.org/officeDocument/2006/relationships/hyperlink" Target="https://www.lcsc.com/product-detail/Light-Emitting-Diodes-LED_Everlight-Elec-17-21-BHC-XL2M2TY-3T_C72035.html" TargetMode="External"/><Relationship Id="rId46" Type="http://schemas.openxmlformats.org/officeDocument/2006/relationships/hyperlink" Target="https://www.lcsc.com/product-detail/Light-Emitting-Diodes-LED_SMD-yellow_C125091.html" TargetMode="External"/><Relationship Id="rId45" Type="http://schemas.openxmlformats.org/officeDocument/2006/relationships/hyperlink" Target="https://lcsc.com/product-detail/Multilayer-Ceramic-Capacitors-MLCC-SMD-SMT_YAGEO-CC0603KRX5R8BB225_C309478.html" TargetMode="External"/><Relationship Id="rId44" Type="http://schemas.openxmlformats.org/officeDocument/2006/relationships/hyperlink" Target="https://lcsc.com/product-detail/Analog-To-Digital-Converters-ADCs_Avia-Semicon-Xiamen-HX711_C43656.html" TargetMode="External"/><Relationship Id="rId43" Type="http://schemas.openxmlformats.org/officeDocument/2006/relationships/hyperlink" Target="https://lcsc.com/product-detail/Tactile-Switches_Omron-Electronics-B3U-1000P_C231329.html" TargetMode="External"/><Relationship Id="rId42" Type="http://schemas.openxmlformats.org/officeDocument/2006/relationships/hyperlink" Target="https://lcsc.com/product-detail/New-Arrivals_PANASONIC-ERJUP3J104V_C491207.html" TargetMode="External"/><Relationship Id="rId41" Type="http://schemas.openxmlformats.org/officeDocument/2006/relationships/hyperlink" Target="https://lcsc.com/product-detail/Chip-Resistor-Surface-Mount_PANASONIC-ERJPA3J822V_C445835.html" TargetMode="External"/><Relationship Id="rId40" Type="http://schemas.openxmlformats.org/officeDocument/2006/relationships/hyperlink" Target="https://lcsc.com/product-detail/Chip-Resistor-Surface-Mount_20KR-2002-1_C105575.html" TargetMode="External"/><Relationship Id="rId4" Type="http://schemas.openxmlformats.org/officeDocument/2006/relationships/hyperlink" Target="https://lcsc.com/brand-detail/94.html" TargetMode="External"/><Relationship Id="rId39" Type="http://schemas.openxmlformats.org/officeDocument/2006/relationships/hyperlink" Target="https://lcsc.com/product-detail/Chip-Resistor-Surface-Mount_YAGEO-AC0603JR-07470KL_C144601.html" TargetMode="External"/><Relationship Id="rId38" Type="http://schemas.openxmlformats.org/officeDocument/2006/relationships/hyperlink" Target="https://lcsc.com/product-detail/Logic-Buffers-Drivers-Receivers-Transceivers_Texas-Instruments_SN74LV1T34DBVR_Texas-Instruments-Texas-Instruments-SN74LV1T34DBVR_C100024.html" TargetMode="External"/><Relationship Id="rId37" Type="http://schemas.openxmlformats.org/officeDocument/2006/relationships/hyperlink" Target="https://lcsc.com/product-detail/USB-Connectors_TE-Connectivity-2305018-2_C498674.html" TargetMode="External"/><Relationship Id="rId36" Type="http://schemas.openxmlformats.org/officeDocument/2006/relationships/hyperlink" Target="https://lcsc.com/product-detail/Chip-Resistor-Surface-Mount_FH-Guangdong-Fenghua-Advanced-Tech-RS-03K5101FT_C156350.html" TargetMode="External"/><Relationship Id="rId35" Type="http://schemas.openxmlformats.org/officeDocument/2006/relationships/hyperlink" Target="https://lcsc.com/product-detail/Chip-Resistor-Surface-Mount_UNI-ROYAL-Uniroyal-Elec-0603WAF4533T5E_C25818.html" TargetMode="External"/><Relationship Id="rId34" Type="http://schemas.openxmlformats.org/officeDocument/2006/relationships/hyperlink" Target="https://lcsc.com/product-detail/Chip-Resistor-Surface-Mount_UNI-ROYAL-Uniroyal-Elec-0603WAF5363T5E_C23200.html" TargetMode="External"/><Relationship Id="rId33" Type="http://schemas.openxmlformats.org/officeDocument/2006/relationships/hyperlink" Target="https://lcsc.com/product-detail/Chip-Resistor-Surface-Mount_UNI-ROYAL-Uniroyal-Elec-0603WAF3013T5E_C23026.html" TargetMode="External"/><Relationship Id="rId32" Type="http://schemas.openxmlformats.org/officeDocument/2006/relationships/hyperlink" Target="https://lcsc.com/product-detail/New-Arrivals_PANASONIC-ERJUP3J101V_C491196.html" TargetMode="External"/><Relationship Id="rId31" Type="http://schemas.openxmlformats.org/officeDocument/2006/relationships/hyperlink" Target="https://lcsc.com/product-detail/Chip-Resistor-Surface-Mount_PANASONIC-ERJPB3B1002V_C161787.html" TargetMode="External"/><Relationship Id="rId30" Type="http://schemas.openxmlformats.org/officeDocument/2006/relationships/hyperlink" Target="https://lcsc.com/product-detail/Chip-Resistor-Surface-Mount_YAGEO-RC0603FR-0754K9L_C185321.html" TargetMode="External"/><Relationship Id="rId3" Type="http://schemas.openxmlformats.org/officeDocument/2006/relationships/hyperlink" Target="https://lcsc.com/brand-detail/296.html" TargetMode="External"/><Relationship Id="rId29" Type="http://schemas.openxmlformats.org/officeDocument/2006/relationships/hyperlink" Target="https://lcsc.com/product-detail/Transistors-NPN-PNP_Diodes-Incorporated-MMBT2222A-7-F_C94515.html" TargetMode="External"/><Relationship Id="rId28" Type="http://schemas.openxmlformats.org/officeDocument/2006/relationships/hyperlink" Target="https://lcsc.com/product-detail/Inductors-SMD_TDK-SLF10145T-100M2R5-PF_C96116.html" TargetMode="External"/><Relationship Id="rId27" Type="http://schemas.openxmlformats.org/officeDocument/2006/relationships/hyperlink" Target="https://lcsc.com/product-detail/Diodes-General-Purpose_DIODES_S1A-13-F_S1A-13-F_C150735.html" TargetMode="External"/><Relationship Id="rId26" Type="http://schemas.openxmlformats.org/officeDocument/2006/relationships/hyperlink" Target="https://lcsc.com/product-detail/Multilayer-Ceramic-Capacitors-MLCC-SMD-SMT_Samsung-Electro-Mechanics-CL10A105KA8NNNC_C5673.html" TargetMode="External"/><Relationship Id="rId25" Type="http://schemas.openxmlformats.org/officeDocument/2006/relationships/hyperlink" Target="https://lcsc.com/product-detail/Multilayer-Ceramic-Capacitors-MLCC-SMD-SMT_Samsung-Electro-Mechanics-CL10B104KB8NNNL_C913912.html" TargetMode="External"/><Relationship Id="rId24" Type="http://schemas.openxmlformats.org/officeDocument/2006/relationships/hyperlink" Target="https://lcsc.com/product-detail/Multilayer-Ceramic-Capacitors-MLCC-SMD-SMT_Samsung-Electro-Mechanics-CL10A475KA8NQNC_C69335.html" TargetMode="External"/><Relationship Id="rId23" Type="http://schemas.openxmlformats.org/officeDocument/2006/relationships/hyperlink" Target="https://lcsc.com/product-detail/Multilayer-Ceramic-Capacitors-MLCC-SMD-SMT_Taiyo-Yuden-TMK107BBJ106MA-T_C386081.html" TargetMode="External"/><Relationship Id="rId22" Type="http://schemas.openxmlformats.org/officeDocument/2006/relationships/hyperlink" Target="https://lcsc.com/brand-detail/877.html" TargetMode="External"/><Relationship Id="rId21" Type="http://schemas.openxmlformats.org/officeDocument/2006/relationships/hyperlink" Target="https://www.digikey.com/en/supplier-centers/analog-devices" TargetMode="External"/><Relationship Id="rId20" Type="http://schemas.openxmlformats.org/officeDocument/2006/relationships/hyperlink" Target="https://www.digikey.com/en/supplier-centers/stmicroelectronics" TargetMode="External"/><Relationship Id="rId2" Type="http://schemas.openxmlformats.org/officeDocument/2006/relationships/hyperlink" Target="https://lcsc.com/brand-detail/392.html" TargetMode="External"/><Relationship Id="rId19" Type="http://schemas.openxmlformats.org/officeDocument/2006/relationships/hyperlink" Target="https://www.digikey.com/en/supplier-centers/texas-instruments" TargetMode="External"/><Relationship Id="rId18" Type="http://schemas.openxmlformats.org/officeDocument/2006/relationships/hyperlink" Target="https://www.digikey.com/en/supplier-centers/stackpole-electronics" TargetMode="External"/><Relationship Id="rId17" Type="http://schemas.openxmlformats.org/officeDocument/2006/relationships/hyperlink" Target="https://www.digikey.com/en/supplier-centers/yageo" TargetMode="External"/><Relationship Id="rId16" Type="http://schemas.openxmlformats.org/officeDocument/2006/relationships/hyperlink" Target="https://www.digikey.com/en/supplier-centers/vishay-dale" TargetMode="External"/><Relationship Id="rId15" Type="http://schemas.openxmlformats.org/officeDocument/2006/relationships/hyperlink" Target="https://www.digikey.com/en/supplier-centers/panasonic" TargetMode="External"/><Relationship Id="rId14" Type="http://schemas.openxmlformats.org/officeDocument/2006/relationships/hyperlink" Target="https://www.digikey.com/en/supplier-centers/rohm-semi" TargetMode="External"/><Relationship Id="rId13" Type="http://schemas.openxmlformats.org/officeDocument/2006/relationships/hyperlink" Target="https://www.digikey.com/en/supplier-centers/te-connectivity-amp" TargetMode="External"/><Relationship Id="rId12" Type="http://schemas.openxmlformats.org/officeDocument/2006/relationships/hyperlink" Target="https://www.digikey.com/en/supplier-centers/tdk" TargetMode="External"/><Relationship Id="rId11" Type="http://schemas.openxmlformats.org/officeDocument/2006/relationships/hyperlink" Target="https://www.digikey.com/en/supplier-centers/wurth-electronics" TargetMode="External"/><Relationship Id="rId10" Type="http://schemas.openxmlformats.org/officeDocument/2006/relationships/hyperlink" Target="https://www.digikey.com/en/supplier-centers/central-semiconductor" TargetMode="External"/><Relationship Id="rId1" Type="http://schemas.openxmlformats.org/officeDocument/2006/relationships/hyperlink" Target="https://lcsc.com/brand-detail/25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3"/>
  <sheetViews>
    <sheetView tabSelected="1" zoomScale="85" zoomScaleNormal="85" topLeftCell="A4" workbookViewId="0">
      <selection activeCell="A23" sqref="A23"/>
    </sheetView>
  </sheetViews>
  <sheetFormatPr defaultColWidth="9" defaultRowHeight="15"/>
  <cols>
    <col min="1" max="1" width="6.14285714285714" customWidth="1"/>
    <col min="2" max="2" width="17.4285714285714" customWidth="1"/>
    <col min="3" max="3" width="68.4285714285714" customWidth="1"/>
    <col min="4" max="4" width="41" customWidth="1"/>
    <col min="5" max="5" width="20.2857142857143" customWidth="1"/>
    <col min="6" max="6" width="25.1428571428571" customWidth="1"/>
    <col min="7" max="7" width="25.2857142857143" customWidth="1"/>
    <col min="8" max="8" width="16" customWidth="1"/>
    <col min="9" max="9" width="17.5714285714286" customWidth="1"/>
    <col min="10" max="10" width="6.14285714285714" customWidth="1"/>
    <col min="11" max="12" width="19" customWidth="1"/>
    <col min="13" max="13" width="19.4285714285714" customWidth="1"/>
    <col min="14" max="14" width="18.2857142857143" customWidth="1"/>
    <col min="15" max="15" width="14.8571428571429" customWidth="1"/>
    <col min="16" max="16" width="11.4285714285714" customWidth="1"/>
    <col min="17" max="17" width="12.1428571428571" customWidth="1"/>
    <col min="18" max="18" width="18.5714285714286" customWidth="1"/>
    <col min="19" max="19" width="14" customWidth="1"/>
    <col min="20" max="20" width="52.8571428571429" customWidth="1"/>
  </cols>
  <sheetData>
    <row r="1" ht="16.5" spans="1:20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146"/>
    </row>
    <row r="2" ht="15.75" spans="1:20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  <c r="T2" s="5" t="s">
        <v>20</v>
      </c>
    </row>
    <row r="3" ht="26.25" spans="1:20">
      <c r="A3" s="6">
        <v>1</v>
      </c>
      <c r="B3" s="7" t="s">
        <v>21</v>
      </c>
      <c r="C3" s="183" t="s">
        <v>22</v>
      </c>
      <c r="D3" s="184" t="s">
        <v>23</v>
      </c>
      <c r="E3" s="185" t="s">
        <v>24</v>
      </c>
      <c r="F3" s="185" t="s">
        <v>25</v>
      </c>
      <c r="G3" s="11" t="s">
        <v>26</v>
      </c>
      <c r="H3" s="186" t="s">
        <v>27</v>
      </c>
      <c r="I3" s="187" t="s">
        <v>28</v>
      </c>
      <c r="J3" s="185" t="s">
        <v>29</v>
      </c>
      <c r="K3" s="99">
        <v>50</v>
      </c>
      <c r="L3" s="99">
        <v>100</v>
      </c>
      <c r="M3" s="10">
        <v>13</v>
      </c>
      <c r="N3" s="100">
        <f>M3*5</f>
        <v>65</v>
      </c>
      <c r="O3" s="11" t="s">
        <v>30</v>
      </c>
      <c r="P3" s="101">
        <v>0.0061</v>
      </c>
      <c r="Q3" s="147">
        <f>P3*K3</f>
        <v>0.305</v>
      </c>
      <c r="R3" s="101">
        <v>0.0061</v>
      </c>
      <c r="S3" s="147">
        <f>R3*L3</f>
        <v>0.61</v>
      </c>
      <c r="T3" s="148"/>
    </row>
    <row r="4" ht="15.75" spans="1:20">
      <c r="A4" s="6">
        <v>2</v>
      </c>
      <c r="B4" s="13"/>
      <c r="C4" s="188" t="s">
        <v>31</v>
      </c>
      <c r="D4" s="189" t="s">
        <v>32</v>
      </c>
      <c r="E4" s="190" t="s">
        <v>24</v>
      </c>
      <c r="F4" s="190" t="s">
        <v>33</v>
      </c>
      <c r="G4" s="17" t="s">
        <v>26</v>
      </c>
      <c r="H4" s="190" t="s">
        <v>34</v>
      </c>
      <c r="I4" s="191" t="s">
        <v>28</v>
      </c>
      <c r="J4" s="190" t="s">
        <v>35</v>
      </c>
      <c r="K4" s="102">
        <v>50</v>
      </c>
      <c r="L4" s="102">
        <v>50</v>
      </c>
      <c r="M4" s="16">
        <v>7</v>
      </c>
      <c r="N4" s="102">
        <f t="shared" ref="N4:N59" si="0">M4*5</f>
        <v>35</v>
      </c>
      <c r="O4" s="17" t="s">
        <v>30</v>
      </c>
      <c r="P4" s="103">
        <v>0.0037</v>
      </c>
      <c r="Q4" s="149">
        <f>P4*K4</f>
        <v>0.185</v>
      </c>
      <c r="R4" s="103">
        <v>0.0037</v>
      </c>
      <c r="S4" s="149">
        <f>R4*L4</f>
        <v>0.185</v>
      </c>
      <c r="T4" s="150"/>
    </row>
    <row r="5" ht="15.75" spans="1:20">
      <c r="A5" s="6">
        <v>3</v>
      </c>
      <c r="B5" s="13"/>
      <c r="C5" s="188" t="s">
        <v>36</v>
      </c>
      <c r="D5" s="189" t="s">
        <v>37</v>
      </c>
      <c r="E5" s="190" t="s">
        <v>24</v>
      </c>
      <c r="F5" s="190" t="s">
        <v>38</v>
      </c>
      <c r="G5" s="18" t="s">
        <v>39</v>
      </c>
      <c r="H5" s="190" t="s">
        <v>40</v>
      </c>
      <c r="I5" s="191" t="s">
        <v>28</v>
      </c>
      <c r="J5" s="190" t="s">
        <v>41</v>
      </c>
      <c r="K5" s="102">
        <v>20</v>
      </c>
      <c r="L5" s="102">
        <v>40</v>
      </c>
      <c r="M5" s="16">
        <v>6</v>
      </c>
      <c r="N5" s="102">
        <f t="shared" si="0"/>
        <v>30</v>
      </c>
      <c r="O5" s="17" t="s">
        <v>30</v>
      </c>
      <c r="P5" s="103">
        <v>0.0312</v>
      </c>
      <c r="Q5" s="149">
        <f>P5*K5</f>
        <v>0.624</v>
      </c>
      <c r="R5" s="103">
        <v>0.0312</v>
      </c>
      <c r="S5" s="149">
        <f>R5*L5</f>
        <v>1.248</v>
      </c>
      <c r="T5" s="150"/>
    </row>
    <row r="6" ht="15.75" spans="1:20">
      <c r="A6" s="6">
        <v>4</v>
      </c>
      <c r="B6" s="13"/>
      <c r="C6" s="188" t="s">
        <v>42</v>
      </c>
      <c r="D6" s="189" t="s">
        <v>43</v>
      </c>
      <c r="E6" s="190" t="s">
        <v>24</v>
      </c>
      <c r="F6" s="190" t="s">
        <v>44</v>
      </c>
      <c r="G6" s="18" t="s">
        <v>26</v>
      </c>
      <c r="H6" s="190" t="s">
        <v>45</v>
      </c>
      <c r="I6" s="191" t="s">
        <v>28</v>
      </c>
      <c r="J6" s="190" t="s">
        <v>46</v>
      </c>
      <c r="K6" s="102">
        <v>20</v>
      </c>
      <c r="L6" s="102">
        <v>20</v>
      </c>
      <c r="M6" s="16">
        <v>2</v>
      </c>
      <c r="N6" s="102">
        <f t="shared" si="0"/>
        <v>10</v>
      </c>
      <c r="O6" s="17" t="s">
        <v>30</v>
      </c>
      <c r="P6" s="103">
        <v>0.0181</v>
      </c>
      <c r="Q6" s="149">
        <f>P6*K6</f>
        <v>0.362</v>
      </c>
      <c r="R6" s="103">
        <v>0.0181</v>
      </c>
      <c r="S6" s="149">
        <f t="shared" ref="S6:S50" si="1">R6*L6</f>
        <v>0.362</v>
      </c>
      <c r="T6" s="150"/>
    </row>
    <row r="7" ht="15.75" spans="1:20">
      <c r="A7" s="6">
        <v>5</v>
      </c>
      <c r="B7" s="13"/>
      <c r="C7" s="188" t="s">
        <v>47</v>
      </c>
      <c r="D7" s="189" t="s">
        <v>48</v>
      </c>
      <c r="E7" s="190" t="s">
        <v>49</v>
      </c>
      <c r="F7" s="190" t="s">
        <v>50</v>
      </c>
      <c r="G7" s="17" t="s">
        <v>51</v>
      </c>
      <c r="H7" s="190" t="s">
        <v>52</v>
      </c>
      <c r="I7" s="191" t="s">
        <v>28</v>
      </c>
      <c r="J7" s="190" t="s">
        <v>53</v>
      </c>
      <c r="K7" s="102">
        <v>50</v>
      </c>
      <c r="L7" s="102">
        <v>50</v>
      </c>
      <c r="M7" s="16">
        <v>2</v>
      </c>
      <c r="N7" s="102">
        <f t="shared" si="0"/>
        <v>10</v>
      </c>
      <c r="O7" s="17" t="s">
        <v>30</v>
      </c>
      <c r="P7" s="103">
        <v>0.0088</v>
      </c>
      <c r="Q7" s="149">
        <f t="shared" ref="Q7:Q50" si="2">P7*K7</f>
        <v>0.44</v>
      </c>
      <c r="R7" s="103">
        <v>0.0088</v>
      </c>
      <c r="S7" s="149">
        <f t="shared" si="1"/>
        <v>0.44</v>
      </c>
      <c r="T7" s="150"/>
    </row>
    <row r="8" s="1" customFormat="1" ht="15.75" spans="1:20">
      <c r="A8" s="6">
        <v>6</v>
      </c>
      <c r="B8" s="13"/>
      <c r="C8" s="192" t="s">
        <v>54</v>
      </c>
      <c r="D8" s="193" t="s">
        <v>55</v>
      </c>
      <c r="E8" s="194" t="s">
        <v>49</v>
      </c>
      <c r="F8" s="190" t="s">
        <v>56</v>
      </c>
      <c r="G8" s="17" t="s">
        <v>57</v>
      </c>
      <c r="H8" s="190" t="s">
        <v>58</v>
      </c>
      <c r="I8" s="102"/>
      <c r="J8" s="190" t="s">
        <v>59</v>
      </c>
      <c r="K8" s="102"/>
      <c r="L8" s="102"/>
      <c r="M8" s="16">
        <v>2</v>
      </c>
      <c r="N8" s="102">
        <f t="shared" si="0"/>
        <v>10</v>
      </c>
      <c r="O8" s="17"/>
      <c r="P8" s="103"/>
      <c r="Q8" s="149">
        <f t="shared" si="2"/>
        <v>0</v>
      </c>
      <c r="R8" s="103"/>
      <c r="S8" s="149">
        <f t="shared" si="1"/>
        <v>0</v>
      </c>
      <c r="T8" s="151"/>
    </row>
    <row r="9" ht="15.75" spans="1:20">
      <c r="A9" s="6">
        <v>7</v>
      </c>
      <c r="B9" s="13"/>
      <c r="C9" s="195" t="s">
        <v>60</v>
      </c>
      <c r="D9" s="196" t="s">
        <v>61</v>
      </c>
      <c r="E9" s="197" t="s">
        <v>24</v>
      </c>
      <c r="F9" s="197" t="s">
        <v>62</v>
      </c>
      <c r="G9" s="18" t="s">
        <v>51</v>
      </c>
      <c r="H9" s="190" t="s">
        <v>63</v>
      </c>
      <c r="I9" s="191" t="s">
        <v>28</v>
      </c>
      <c r="J9" s="198" t="s">
        <v>64</v>
      </c>
      <c r="K9" s="102">
        <v>20</v>
      </c>
      <c r="L9" s="102">
        <v>20</v>
      </c>
      <c r="M9" s="16">
        <v>1</v>
      </c>
      <c r="N9" s="102">
        <f t="shared" si="0"/>
        <v>5</v>
      </c>
      <c r="O9" s="17" t="s">
        <v>30</v>
      </c>
      <c r="P9" s="103">
        <v>0.0205</v>
      </c>
      <c r="Q9" s="149">
        <f t="shared" si="2"/>
        <v>0.41</v>
      </c>
      <c r="R9" s="103">
        <v>0.0205</v>
      </c>
      <c r="S9" s="149">
        <f t="shared" si="1"/>
        <v>0.41</v>
      </c>
      <c r="T9" s="151"/>
    </row>
    <row r="10" ht="15.75" spans="1:20">
      <c r="A10" s="6">
        <v>8</v>
      </c>
      <c r="B10" s="25"/>
      <c r="C10" s="199" t="s">
        <v>65</v>
      </c>
      <c r="D10" s="200" t="s">
        <v>66</v>
      </c>
      <c r="E10" s="201" t="s">
        <v>67</v>
      </c>
      <c r="F10" s="201" t="s">
        <v>68</v>
      </c>
      <c r="G10" s="29" t="s">
        <v>69</v>
      </c>
      <c r="H10" s="202" t="s">
        <v>70</v>
      </c>
      <c r="I10" s="203" t="s">
        <v>71</v>
      </c>
      <c r="J10" s="202" t="s">
        <v>72</v>
      </c>
      <c r="K10" s="104">
        <v>10</v>
      </c>
      <c r="L10" s="104">
        <v>20</v>
      </c>
      <c r="M10" s="30">
        <v>2</v>
      </c>
      <c r="N10" s="105">
        <f t="shared" si="0"/>
        <v>10</v>
      </c>
      <c r="O10" s="64" t="s">
        <v>30</v>
      </c>
      <c r="P10" s="106">
        <v>0.0587</v>
      </c>
      <c r="Q10" s="152">
        <f t="shared" si="2"/>
        <v>0.587</v>
      </c>
      <c r="R10" s="106">
        <v>0.0587</v>
      </c>
      <c r="S10" s="152">
        <f t="shared" si="1"/>
        <v>1.174</v>
      </c>
      <c r="T10" s="153" t="s">
        <v>73</v>
      </c>
    </row>
    <row r="11" ht="15.75" spans="1:20">
      <c r="A11" s="6">
        <v>9</v>
      </c>
      <c r="B11" s="13" t="s">
        <v>74</v>
      </c>
      <c r="C11" s="204" t="s">
        <v>75</v>
      </c>
      <c r="D11" s="205" t="s">
        <v>76</v>
      </c>
      <c r="E11" s="206" t="s">
        <v>77</v>
      </c>
      <c r="F11" s="207" t="s">
        <v>78</v>
      </c>
      <c r="G11" s="35" t="s">
        <v>79</v>
      </c>
      <c r="H11" s="33"/>
      <c r="I11" s="107"/>
      <c r="J11" s="206" t="s">
        <v>80</v>
      </c>
      <c r="K11" s="107"/>
      <c r="L11" s="107"/>
      <c r="M11" s="33">
        <v>2</v>
      </c>
      <c r="N11" s="107">
        <f t="shared" si="0"/>
        <v>10</v>
      </c>
      <c r="O11" s="35"/>
      <c r="P11" s="108"/>
      <c r="Q11" s="154">
        <f t="shared" si="2"/>
        <v>0</v>
      </c>
      <c r="R11" s="108"/>
      <c r="S11" s="154">
        <f t="shared" si="1"/>
        <v>0</v>
      </c>
      <c r="T11" s="155"/>
    </row>
    <row r="12" ht="15.75" spans="1:20">
      <c r="A12" s="6">
        <v>10</v>
      </c>
      <c r="B12" s="13"/>
      <c r="C12" s="188" t="s">
        <v>81</v>
      </c>
      <c r="D12" s="189" t="s">
        <v>82</v>
      </c>
      <c r="E12" s="190" t="s">
        <v>83</v>
      </c>
      <c r="F12" s="190" t="s">
        <v>84</v>
      </c>
      <c r="G12" s="18" t="s">
        <v>85</v>
      </c>
      <c r="H12" s="16" t="s">
        <v>86</v>
      </c>
      <c r="I12" s="191" t="s">
        <v>28</v>
      </c>
      <c r="J12" s="190" t="s">
        <v>80</v>
      </c>
      <c r="K12" s="102">
        <v>10</v>
      </c>
      <c r="L12" s="102">
        <v>10</v>
      </c>
      <c r="M12" s="16">
        <v>1</v>
      </c>
      <c r="N12" s="102">
        <f t="shared" si="0"/>
        <v>5</v>
      </c>
      <c r="O12" s="17" t="s">
        <v>30</v>
      </c>
      <c r="P12" s="103">
        <v>0.0537</v>
      </c>
      <c r="Q12" s="149">
        <f t="shared" si="2"/>
        <v>0.537</v>
      </c>
      <c r="R12" s="103">
        <v>0.0537</v>
      </c>
      <c r="S12" s="149">
        <f t="shared" si="1"/>
        <v>0.537</v>
      </c>
      <c r="T12" s="150"/>
    </row>
    <row r="13" ht="15.75" spans="1:20">
      <c r="A13" s="6">
        <v>11</v>
      </c>
      <c r="B13" s="13"/>
      <c r="C13" s="208" t="s">
        <v>87</v>
      </c>
      <c r="D13" s="209" t="s">
        <v>88</v>
      </c>
      <c r="E13" s="198" t="s">
        <v>89</v>
      </c>
      <c r="F13" s="210" t="s">
        <v>90</v>
      </c>
      <c r="G13" s="40" t="s">
        <v>91</v>
      </c>
      <c r="H13" s="38" t="s">
        <v>92</v>
      </c>
      <c r="I13" s="211" t="s">
        <v>93</v>
      </c>
      <c r="J13" s="198" t="s">
        <v>80</v>
      </c>
      <c r="K13" s="61">
        <v>5</v>
      </c>
      <c r="L13" s="61">
        <v>10</v>
      </c>
      <c r="M13" s="61">
        <v>1</v>
      </c>
      <c r="N13" s="109">
        <f t="shared" si="0"/>
        <v>5</v>
      </c>
      <c r="O13" s="110" t="s">
        <v>30</v>
      </c>
      <c r="P13" s="111">
        <v>0.0965</v>
      </c>
      <c r="Q13" s="154">
        <f t="shared" si="2"/>
        <v>0.4825</v>
      </c>
      <c r="R13" s="111">
        <v>0.0965</v>
      </c>
      <c r="S13" s="154">
        <f t="shared" si="1"/>
        <v>0.965</v>
      </c>
      <c r="T13" s="156" t="s">
        <v>94</v>
      </c>
    </row>
    <row r="14" ht="15.75" spans="1:20">
      <c r="A14" s="6">
        <v>12</v>
      </c>
      <c r="B14" s="41" t="s">
        <v>95</v>
      </c>
      <c r="C14" s="212" t="s">
        <v>96</v>
      </c>
      <c r="D14" s="213" t="s">
        <v>97</v>
      </c>
      <c r="E14" s="185" t="s">
        <v>98</v>
      </c>
      <c r="F14" s="185" t="s">
        <v>99</v>
      </c>
      <c r="G14" s="44" t="s">
        <v>100</v>
      </c>
      <c r="H14" s="10" t="s">
        <v>101</v>
      </c>
      <c r="I14" s="187" t="s">
        <v>28</v>
      </c>
      <c r="J14" s="185" t="s">
        <v>80</v>
      </c>
      <c r="K14" s="10">
        <v>20</v>
      </c>
      <c r="L14" s="10">
        <v>20</v>
      </c>
      <c r="M14" s="10">
        <v>1</v>
      </c>
      <c r="N14" s="99">
        <f t="shared" si="0"/>
        <v>5</v>
      </c>
      <c r="O14" s="112" t="s">
        <v>30</v>
      </c>
      <c r="P14" s="101">
        <v>0.02</v>
      </c>
      <c r="Q14" s="147">
        <f t="shared" si="2"/>
        <v>0.4</v>
      </c>
      <c r="R14" s="101">
        <v>0.02</v>
      </c>
      <c r="S14" s="147">
        <f t="shared" si="1"/>
        <v>0.4</v>
      </c>
      <c r="T14" s="157"/>
    </row>
    <row r="15" ht="15.75" spans="1:20">
      <c r="A15" s="6">
        <v>13</v>
      </c>
      <c r="B15" s="45"/>
      <c r="C15" s="208" t="s">
        <v>102</v>
      </c>
      <c r="D15" s="209" t="s">
        <v>103</v>
      </c>
      <c r="E15" s="198" t="s">
        <v>98</v>
      </c>
      <c r="F15" s="198" t="s">
        <v>104</v>
      </c>
      <c r="G15" s="40" t="s">
        <v>105</v>
      </c>
      <c r="H15" s="38" t="s">
        <v>106</v>
      </c>
      <c r="I15" s="211" t="s">
        <v>28</v>
      </c>
      <c r="J15" s="198" t="s">
        <v>80</v>
      </c>
      <c r="K15" s="38">
        <v>20</v>
      </c>
      <c r="L15" s="38">
        <v>20</v>
      </c>
      <c r="M15" s="38">
        <v>1</v>
      </c>
      <c r="N15" s="109">
        <f t="shared" si="0"/>
        <v>5</v>
      </c>
      <c r="O15" s="113" t="s">
        <v>30</v>
      </c>
      <c r="P15" s="111">
        <v>0.031</v>
      </c>
      <c r="Q15" s="154">
        <f t="shared" si="2"/>
        <v>0.62</v>
      </c>
      <c r="R15" s="111">
        <v>0.031</v>
      </c>
      <c r="S15" s="154">
        <f t="shared" si="1"/>
        <v>0.62</v>
      </c>
      <c r="T15" s="158"/>
    </row>
    <row r="16" ht="15.75" spans="1:20">
      <c r="A16" s="6">
        <v>14</v>
      </c>
      <c r="B16" s="45"/>
      <c r="C16" s="188" t="s">
        <v>107</v>
      </c>
      <c r="D16" s="189" t="s">
        <v>108</v>
      </c>
      <c r="E16" s="190" t="s">
        <v>98</v>
      </c>
      <c r="F16" s="190" t="s">
        <v>109</v>
      </c>
      <c r="G16" s="46" t="s">
        <v>100</v>
      </c>
      <c r="H16" s="16" t="s">
        <v>110</v>
      </c>
      <c r="I16" s="191" t="s">
        <v>28</v>
      </c>
      <c r="J16" s="190" t="s">
        <v>80</v>
      </c>
      <c r="K16" s="16">
        <v>20</v>
      </c>
      <c r="L16" s="16">
        <v>20</v>
      </c>
      <c r="M16" s="16">
        <v>1</v>
      </c>
      <c r="N16" s="102">
        <f t="shared" si="0"/>
        <v>5</v>
      </c>
      <c r="O16" s="114" t="s">
        <v>30</v>
      </c>
      <c r="P16" s="103">
        <v>0.0185</v>
      </c>
      <c r="Q16" s="149">
        <f t="shared" si="2"/>
        <v>0.37</v>
      </c>
      <c r="R16" s="103">
        <v>0.0185</v>
      </c>
      <c r="S16" s="149">
        <f t="shared" si="1"/>
        <v>0.37</v>
      </c>
      <c r="T16" s="151"/>
    </row>
    <row r="17" ht="15.75" spans="1:20">
      <c r="A17" s="6">
        <v>15</v>
      </c>
      <c r="B17" s="47"/>
      <c r="C17" s="214" t="s">
        <v>111</v>
      </c>
      <c r="D17" s="215" t="s">
        <v>112</v>
      </c>
      <c r="E17" s="202" t="s">
        <v>113</v>
      </c>
      <c r="F17" s="216" t="s">
        <v>114</v>
      </c>
      <c r="G17" s="51" t="s">
        <v>115</v>
      </c>
      <c r="H17" s="30" t="s">
        <v>116</v>
      </c>
      <c r="I17" s="203" t="s">
        <v>117</v>
      </c>
      <c r="J17" s="202" t="s">
        <v>80</v>
      </c>
      <c r="K17" s="104">
        <v>50</v>
      </c>
      <c r="L17" s="104">
        <v>50</v>
      </c>
      <c r="M17" s="30">
        <v>2</v>
      </c>
      <c r="N17" s="104">
        <f t="shared" si="0"/>
        <v>10</v>
      </c>
      <c r="O17" s="115" t="s">
        <v>30</v>
      </c>
      <c r="P17" s="106">
        <v>0.014</v>
      </c>
      <c r="Q17" s="152">
        <f t="shared" si="2"/>
        <v>0.7</v>
      </c>
      <c r="R17" s="106">
        <v>0.014</v>
      </c>
      <c r="S17" s="152">
        <f t="shared" si="1"/>
        <v>0.7</v>
      </c>
      <c r="T17" s="153"/>
    </row>
    <row r="18" ht="15.75" spans="1:20">
      <c r="A18" s="6">
        <v>16</v>
      </c>
      <c r="B18" s="52" t="s">
        <v>118</v>
      </c>
      <c r="C18" s="212" t="s">
        <v>119</v>
      </c>
      <c r="D18" s="213" t="s">
        <v>120</v>
      </c>
      <c r="E18" s="185" t="s">
        <v>49</v>
      </c>
      <c r="F18" s="185" t="s">
        <v>121</v>
      </c>
      <c r="G18" s="44" t="s">
        <v>122</v>
      </c>
      <c r="H18" s="217" t="s">
        <v>123</v>
      </c>
      <c r="I18" s="187" t="s">
        <v>28</v>
      </c>
      <c r="J18" s="185" t="s">
        <v>124</v>
      </c>
      <c r="K18" s="99">
        <v>4</v>
      </c>
      <c r="L18" s="99">
        <v>13</v>
      </c>
      <c r="M18" s="10">
        <v>2</v>
      </c>
      <c r="N18" s="99">
        <f t="shared" si="0"/>
        <v>10</v>
      </c>
      <c r="O18" s="116" t="s">
        <v>125</v>
      </c>
      <c r="P18" s="101">
        <v>2.9</v>
      </c>
      <c r="Q18" s="152">
        <f t="shared" si="2"/>
        <v>11.6</v>
      </c>
      <c r="R18" s="101">
        <v>2.9</v>
      </c>
      <c r="S18" s="147">
        <f t="shared" si="1"/>
        <v>37.7</v>
      </c>
      <c r="T18" s="159" t="s">
        <v>126</v>
      </c>
    </row>
    <row r="19" ht="15.75" spans="1:20">
      <c r="A19" s="6">
        <v>17</v>
      </c>
      <c r="B19" s="54"/>
      <c r="C19" s="218" t="s">
        <v>127</v>
      </c>
      <c r="D19" s="219" t="s">
        <v>128</v>
      </c>
      <c r="E19" s="220" t="s">
        <v>49</v>
      </c>
      <c r="F19" s="220" t="s">
        <v>129</v>
      </c>
      <c r="G19" s="58" t="s">
        <v>130</v>
      </c>
      <c r="H19" s="57" t="s">
        <v>131</v>
      </c>
      <c r="I19" s="221" t="s">
        <v>28</v>
      </c>
      <c r="J19" s="220" t="s">
        <v>132</v>
      </c>
      <c r="K19" s="105">
        <v>2</v>
      </c>
      <c r="L19" s="105">
        <v>7</v>
      </c>
      <c r="M19" s="57">
        <v>1</v>
      </c>
      <c r="N19" s="105">
        <f t="shared" si="0"/>
        <v>5</v>
      </c>
      <c r="O19" s="64" t="s">
        <v>30</v>
      </c>
      <c r="P19" s="117">
        <v>0.3452</v>
      </c>
      <c r="Q19" s="152">
        <f t="shared" si="2"/>
        <v>0.6904</v>
      </c>
      <c r="R19" s="117">
        <v>0.3452</v>
      </c>
      <c r="S19" s="152">
        <f t="shared" si="1"/>
        <v>2.4164</v>
      </c>
      <c r="T19" s="160"/>
    </row>
    <row r="20" ht="15.75" spans="1:20">
      <c r="A20" s="6">
        <v>18</v>
      </c>
      <c r="B20" s="59" t="s">
        <v>133</v>
      </c>
      <c r="C20" s="204" t="s">
        <v>134</v>
      </c>
      <c r="D20" s="205" t="s">
        <v>135</v>
      </c>
      <c r="E20" s="206" t="s">
        <v>136</v>
      </c>
      <c r="F20" s="206" t="s">
        <v>137</v>
      </c>
      <c r="G20" s="60" t="s">
        <v>85</v>
      </c>
      <c r="H20" s="61" t="s">
        <v>138</v>
      </c>
      <c r="I20" s="222" t="s">
        <v>28</v>
      </c>
      <c r="J20" s="223" t="s">
        <v>80</v>
      </c>
      <c r="K20" s="118">
        <v>20</v>
      </c>
      <c r="L20" s="118">
        <v>20</v>
      </c>
      <c r="M20" s="61">
        <v>2</v>
      </c>
      <c r="N20" s="107">
        <f t="shared" si="0"/>
        <v>10</v>
      </c>
      <c r="O20" s="119" t="s">
        <v>30</v>
      </c>
      <c r="P20" s="108">
        <v>0.0349</v>
      </c>
      <c r="Q20" s="154">
        <f t="shared" si="2"/>
        <v>0.698</v>
      </c>
      <c r="R20" s="108">
        <v>0.0349</v>
      </c>
      <c r="S20" s="154">
        <f t="shared" si="1"/>
        <v>0.698</v>
      </c>
      <c r="T20" s="161"/>
    </row>
    <row r="21" ht="15.75" spans="1:20">
      <c r="A21" s="6">
        <v>19</v>
      </c>
      <c r="B21" s="62"/>
      <c r="C21" s="188" t="s">
        <v>139</v>
      </c>
      <c r="D21" s="189" t="s">
        <v>140</v>
      </c>
      <c r="E21" s="190" t="s">
        <v>141</v>
      </c>
      <c r="F21" s="190" t="s">
        <v>142</v>
      </c>
      <c r="G21" s="63" t="s">
        <v>143</v>
      </c>
      <c r="H21" s="16"/>
      <c r="I21" s="224" t="s">
        <v>28</v>
      </c>
      <c r="J21" s="194" t="s">
        <v>80</v>
      </c>
      <c r="K21" s="21"/>
      <c r="L21" s="21"/>
      <c r="M21" s="21">
        <v>1</v>
      </c>
      <c r="N21" s="102">
        <f t="shared" si="0"/>
        <v>5</v>
      </c>
      <c r="O21" s="17"/>
      <c r="P21" s="121"/>
      <c r="Q21" s="149">
        <f t="shared" si="2"/>
        <v>0</v>
      </c>
      <c r="R21" s="121"/>
      <c r="S21" s="149">
        <f t="shared" si="1"/>
        <v>0</v>
      </c>
      <c r="T21" s="162"/>
    </row>
    <row r="22" ht="15.75" spans="1:20">
      <c r="A22" s="6">
        <v>20</v>
      </c>
      <c r="B22" s="54"/>
      <c r="C22" s="218" t="s">
        <v>144</v>
      </c>
      <c r="D22" s="219" t="s">
        <v>145</v>
      </c>
      <c r="E22" s="220" t="s">
        <v>136</v>
      </c>
      <c r="F22" s="220" t="s">
        <v>146</v>
      </c>
      <c r="G22" s="64" t="s">
        <v>143</v>
      </c>
      <c r="H22" s="65" t="s">
        <v>147</v>
      </c>
      <c r="I22" s="203" t="s">
        <v>28</v>
      </c>
      <c r="J22" s="202" t="s">
        <v>80</v>
      </c>
      <c r="K22" s="104">
        <v>10</v>
      </c>
      <c r="L22" s="104">
        <v>10</v>
      </c>
      <c r="M22" s="30">
        <v>1</v>
      </c>
      <c r="N22" s="105">
        <f t="shared" si="0"/>
        <v>5</v>
      </c>
      <c r="O22" s="122" t="s">
        <v>30</v>
      </c>
      <c r="P22" s="117">
        <v>0.0574</v>
      </c>
      <c r="Q22" s="152">
        <f t="shared" si="2"/>
        <v>0.574</v>
      </c>
      <c r="R22" s="117">
        <v>0.0574</v>
      </c>
      <c r="S22" s="152">
        <f t="shared" si="1"/>
        <v>0.574</v>
      </c>
      <c r="T22" s="163"/>
    </row>
    <row r="23" ht="15.75" spans="1:20">
      <c r="A23" s="6">
        <v>21</v>
      </c>
      <c r="B23" s="7" t="s">
        <v>148</v>
      </c>
      <c r="C23" s="188" t="s">
        <v>149</v>
      </c>
      <c r="D23" s="189" t="s">
        <v>150</v>
      </c>
      <c r="E23" s="190" t="s">
        <v>151</v>
      </c>
      <c r="F23" s="225" t="s">
        <v>152</v>
      </c>
      <c r="G23" s="46" t="s">
        <v>153</v>
      </c>
      <c r="H23" s="16" t="s">
        <v>154</v>
      </c>
      <c r="I23" s="16" t="s">
        <v>155</v>
      </c>
      <c r="J23" s="190" t="s">
        <v>156</v>
      </c>
      <c r="K23" s="102">
        <v>20</v>
      </c>
      <c r="L23" s="102">
        <v>40</v>
      </c>
      <c r="M23" s="16">
        <v>4</v>
      </c>
      <c r="N23" s="102">
        <f t="shared" si="0"/>
        <v>20</v>
      </c>
      <c r="O23" s="17" t="s">
        <v>30</v>
      </c>
      <c r="P23" s="103">
        <v>0.0204</v>
      </c>
      <c r="Q23" s="149">
        <f t="shared" si="2"/>
        <v>0.408</v>
      </c>
      <c r="R23" s="103">
        <v>0.0204</v>
      </c>
      <c r="S23" s="149">
        <f t="shared" si="1"/>
        <v>0.816</v>
      </c>
      <c r="T23" s="151" t="s">
        <v>157</v>
      </c>
    </row>
    <row r="24" ht="15.75" spans="1:20">
      <c r="A24" s="6">
        <v>22</v>
      </c>
      <c r="B24" s="13"/>
      <c r="C24" s="208" t="s">
        <v>158</v>
      </c>
      <c r="D24" s="209" t="s">
        <v>159</v>
      </c>
      <c r="E24" s="198" t="s">
        <v>151</v>
      </c>
      <c r="F24" s="210" t="s">
        <v>160</v>
      </c>
      <c r="G24" s="40" t="s">
        <v>161</v>
      </c>
      <c r="H24" s="38" t="s">
        <v>162</v>
      </c>
      <c r="I24" s="211" t="s">
        <v>163</v>
      </c>
      <c r="J24" s="198" t="s">
        <v>164</v>
      </c>
      <c r="K24" s="38">
        <v>100</v>
      </c>
      <c r="L24" s="38">
        <v>100</v>
      </c>
      <c r="M24" s="38">
        <v>1</v>
      </c>
      <c r="N24" s="109">
        <f t="shared" si="0"/>
        <v>5</v>
      </c>
      <c r="O24" s="110" t="s">
        <v>30</v>
      </c>
      <c r="P24" s="111">
        <v>0.0014</v>
      </c>
      <c r="Q24" s="164">
        <f t="shared" si="2"/>
        <v>0.14</v>
      </c>
      <c r="R24" s="111">
        <v>0.0014</v>
      </c>
      <c r="S24" s="164">
        <f t="shared" si="1"/>
        <v>0.14</v>
      </c>
      <c r="T24" s="158" t="s">
        <v>157</v>
      </c>
    </row>
    <row r="25" ht="26.25" spans="1:20">
      <c r="A25" s="6">
        <v>23</v>
      </c>
      <c r="B25" s="13"/>
      <c r="C25" s="226" t="s">
        <v>165</v>
      </c>
      <c r="D25" s="189" t="s">
        <v>166</v>
      </c>
      <c r="E25" s="190" t="s">
        <v>151</v>
      </c>
      <c r="F25" s="225" t="s">
        <v>167</v>
      </c>
      <c r="G25" s="46" t="s">
        <v>168</v>
      </c>
      <c r="H25" s="16" t="s">
        <v>169</v>
      </c>
      <c r="I25" s="16" t="s">
        <v>170</v>
      </c>
      <c r="J25" s="190" t="s">
        <v>171</v>
      </c>
      <c r="K25" s="102">
        <v>10</v>
      </c>
      <c r="L25" s="102">
        <v>40</v>
      </c>
      <c r="M25" s="16">
        <v>7</v>
      </c>
      <c r="N25" s="102">
        <f t="shared" si="0"/>
        <v>35</v>
      </c>
      <c r="O25" s="17" t="s">
        <v>30</v>
      </c>
      <c r="P25" s="103">
        <v>0.0554</v>
      </c>
      <c r="Q25" s="149">
        <f t="shared" si="2"/>
        <v>0.554</v>
      </c>
      <c r="R25" s="103">
        <v>0.0554</v>
      </c>
      <c r="S25" s="149">
        <f t="shared" si="1"/>
        <v>2.216</v>
      </c>
      <c r="T25" s="151" t="s">
        <v>157</v>
      </c>
    </row>
    <row r="26" ht="15.75" spans="1:20">
      <c r="A26" s="6">
        <v>24</v>
      </c>
      <c r="B26" s="13"/>
      <c r="C26" s="204" t="s">
        <v>172</v>
      </c>
      <c r="D26" s="205" t="s">
        <v>173</v>
      </c>
      <c r="E26" s="206" t="s">
        <v>151</v>
      </c>
      <c r="F26" s="227" t="s">
        <v>174</v>
      </c>
      <c r="G26" s="69" t="s">
        <v>153</v>
      </c>
      <c r="H26" s="33" t="s">
        <v>175</v>
      </c>
      <c r="I26" s="33" t="s">
        <v>176</v>
      </c>
      <c r="J26" s="206" t="s">
        <v>177</v>
      </c>
      <c r="K26" s="107">
        <v>100</v>
      </c>
      <c r="L26" s="107">
        <v>100</v>
      </c>
      <c r="M26" s="33">
        <v>1</v>
      </c>
      <c r="N26" s="107">
        <f t="shared" si="0"/>
        <v>5</v>
      </c>
      <c r="O26" s="35" t="s">
        <v>30</v>
      </c>
      <c r="P26" s="108">
        <v>0.0014</v>
      </c>
      <c r="Q26" s="165">
        <f t="shared" si="2"/>
        <v>0.14</v>
      </c>
      <c r="R26" s="108">
        <v>0.0014</v>
      </c>
      <c r="S26" s="165">
        <f t="shared" si="1"/>
        <v>0.14</v>
      </c>
      <c r="T26" s="155" t="s">
        <v>157</v>
      </c>
    </row>
    <row r="27" ht="26.25" spans="1:20">
      <c r="A27" s="6">
        <v>25</v>
      </c>
      <c r="B27" s="13"/>
      <c r="C27" s="228" t="s">
        <v>178</v>
      </c>
      <c r="D27" s="189" t="s">
        <v>179</v>
      </c>
      <c r="E27" s="190" t="s">
        <v>151</v>
      </c>
      <c r="F27" s="225" t="s">
        <v>180</v>
      </c>
      <c r="G27" s="46" t="s">
        <v>168</v>
      </c>
      <c r="H27" s="16" t="s">
        <v>181</v>
      </c>
      <c r="I27" s="191" t="s">
        <v>182</v>
      </c>
      <c r="J27" s="190" t="s">
        <v>183</v>
      </c>
      <c r="K27" s="16">
        <v>20</v>
      </c>
      <c r="L27" s="16">
        <v>20</v>
      </c>
      <c r="M27" s="16">
        <v>3</v>
      </c>
      <c r="N27" s="102">
        <f t="shared" si="0"/>
        <v>15</v>
      </c>
      <c r="O27" s="17" t="s">
        <v>30</v>
      </c>
      <c r="P27" s="103">
        <v>0.0195</v>
      </c>
      <c r="Q27" s="149">
        <f t="shared" si="2"/>
        <v>0.39</v>
      </c>
      <c r="R27" s="103">
        <v>0.0195</v>
      </c>
      <c r="S27" s="149">
        <f t="shared" si="1"/>
        <v>0.39</v>
      </c>
      <c r="T27" s="151" t="s">
        <v>157</v>
      </c>
    </row>
    <row r="28" ht="26.25" spans="1:20">
      <c r="A28" s="6">
        <v>26</v>
      </c>
      <c r="B28" s="13"/>
      <c r="C28" s="228" t="s">
        <v>184</v>
      </c>
      <c r="D28" s="189" t="s">
        <v>185</v>
      </c>
      <c r="E28" s="190" t="s">
        <v>151</v>
      </c>
      <c r="F28" s="190" t="s">
        <v>186</v>
      </c>
      <c r="G28" s="46" t="s">
        <v>187</v>
      </c>
      <c r="H28" s="16" t="s">
        <v>188</v>
      </c>
      <c r="I28" s="229" t="s">
        <v>28</v>
      </c>
      <c r="J28" s="190" t="s">
        <v>189</v>
      </c>
      <c r="K28" s="16">
        <v>20</v>
      </c>
      <c r="L28" s="16">
        <v>20</v>
      </c>
      <c r="M28" s="16">
        <v>1</v>
      </c>
      <c r="N28" s="102">
        <f t="shared" si="0"/>
        <v>5</v>
      </c>
      <c r="O28" s="17" t="s">
        <v>30</v>
      </c>
      <c r="P28" s="103">
        <v>0.0135</v>
      </c>
      <c r="Q28" s="149">
        <f t="shared" si="2"/>
        <v>0.27</v>
      </c>
      <c r="R28" s="103">
        <v>0.0135</v>
      </c>
      <c r="S28" s="149">
        <f t="shared" si="1"/>
        <v>0.27</v>
      </c>
      <c r="T28" s="150"/>
    </row>
    <row r="29" ht="15.75" spans="1:20">
      <c r="A29" s="6">
        <v>27</v>
      </c>
      <c r="B29" s="13"/>
      <c r="C29" s="188" t="s">
        <v>190</v>
      </c>
      <c r="D29" s="189" t="s">
        <v>191</v>
      </c>
      <c r="E29" s="190" t="s">
        <v>151</v>
      </c>
      <c r="F29" s="190" t="s">
        <v>192</v>
      </c>
      <c r="G29" s="17" t="s">
        <v>193</v>
      </c>
      <c r="H29" s="16" t="s">
        <v>194</v>
      </c>
      <c r="I29" s="191" t="s">
        <v>28</v>
      </c>
      <c r="J29" s="190" t="s">
        <v>195</v>
      </c>
      <c r="K29" s="102">
        <v>100</v>
      </c>
      <c r="L29" s="102">
        <v>100</v>
      </c>
      <c r="M29" s="16">
        <v>1</v>
      </c>
      <c r="N29" s="102">
        <f t="shared" si="0"/>
        <v>5</v>
      </c>
      <c r="O29" s="17" t="s">
        <v>30</v>
      </c>
      <c r="P29" s="103">
        <v>0.0018</v>
      </c>
      <c r="Q29" s="149">
        <f t="shared" si="2"/>
        <v>0.18</v>
      </c>
      <c r="R29" s="103">
        <v>0.0018</v>
      </c>
      <c r="S29" s="149">
        <f t="shared" si="1"/>
        <v>0.18</v>
      </c>
      <c r="T29" s="150"/>
    </row>
    <row r="30" ht="15.75" spans="1:20">
      <c r="A30" s="6">
        <v>28</v>
      </c>
      <c r="B30" s="13"/>
      <c r="C30" s="188" t="s">
        <v>196</v>
      </c>
      <c r="D30" s="189" t="s">
        <v>197</v>
      </c>
      <c r="E30" s="190" t="s">
        <v>151</v>
      </c>
      <c r="F30" s="190" t="s">
        <v>198</v>
      </c>
      <c r="G30" s="17" t="s">
        <v>193</v>
      </c>
      <c r="H30" s="16" t="s">
        <v>199</v>
      </c>
      <c r="I30" s="191" t="s">
        <v>28</v>
      </c>
      <c r="J30" s="194" t="s">
        <v>200</v>
      </c>
      <c r="K30" s="21">
        <v>100</v>
      </c>
      <c r="L30" s="21">
        <v>100</v>
      </c>
      <c r="M30" s="21">
        <v>1</v>
      </c>
      <c r="N30" s="102">
        <f t="shared" si="0"/>
        <v>5</v>
      </c>
      <c r="O30" s="63" t="s">
        <v>30</v>
      </c>
      <c r="P30" s="121">
        <v>0.0015</v>
      </c>
      <c r="Q30" s="149">
        <f t="shared" si="2"/>
        <v>0.15</v>
      </c>
      <c r="R30" s="121">
        <v>0.0015</v>
      </c>
      <c r="S30" s="149">
        <f t="shared" si="1"/>
        <v>0.15</v>
      </c>
      <c r="T30" s="166"/>
    </row>
    <row r="31" ht="15.75" spans="1:20">
      <c r="A31" s="6">
        <v>29</v>
      </c>
      <c r="B31" s="13"/>
      <c r="C31" s="188" t="s">
        <v>201</v>
      </c>
      <c r="D31" s="189" t="s">
        <v>202</v>
      </c>
      <c r="E31" s="190" t="s">
        <v>151</v>
      </c>
      <c r="F31" s="190" t="s">
        <v>203</v>
      </c>
      <c r="G31" s="17" t="s">
        <v>193</v>
      </c>
      <c r="H31" s="16" t="s">
        <v>204</v>
      </c>
      <c r="I31" s="191" t="s">
        <v>28</v>
      </c>
      <c r="J31" s="190" t="s">
        <v>205</v>
      </c>
      <c r="K31" s="102">
        <v>100</v>
      </c>
      <c r="L31" s="102">
        <v>100</v>
      </c>
      <c r="M31" s="16">
        <v>1</v>
      </c>
      <c r="N31" s="102">
        <f t="shared" si="0"/>
        <v>5</v>
      </c>
      <c r="O31" s="114" t="s">
        <v>30</v>
      </c>
      <c r="P31" s="103">
        <v>0.0012</v>
      </c>
      <c r="Q31" s="149">
        <f t="shared" si="2"/>
        <v>0.12</v>
      </c>
      <c r="R31" s="103">
        <v>0.0012</v>
      </c>
      <c r="S31" s="149">
        <f t="shared" si="1"/>
        <v>0.12</v>
      </c>
      <c r="T31" s="150"/>
    </row>
    <row r="32" ht="15.75" spans="1:20">
      <c r="A32" s="6">
        <v>30</v>
      </c>
      <c r="B32" s="13"/>
      <c r="C32" s="188" t="s">
        <v>206</v>
      </c>
      <c r="D32" s="189" t="s">
        <v>207</v>
      </c>
      <c r="E32" s="190" t="s">
        <v>208</v>
      </c>
      <c r="F32" s="190" t="s">
        <v>209</v>
      </c>
      <c r="G32" s="71" t="s">
        <v>210</v>
      </c>
      <c r="H32" s="16"/>
      <c r="I32" s="102"/>
      <c r="J32" s="190" t="s">
        <v>211</v>
      </c>
      <c r="K32" s="16"/>
      <c r="L32" s="16"/>
      <c r="M32" s="21">
        <v>1</v>
      </c>
      <c r="N32" s="102">
        <f t="shared" si="0"/>
        <v>5</v>
      </c>
      <c r="O32" s="17"/>
      <c r="P32" s="121"/>
      <c r="Q32" s="149">
        <f t="shared" si="2"/>
        <v>0</v>
      </c>
      <c r="R32" s="121"/>
      <c r="S32" s="149">
        <f t="shared" si="1"/>
        <v>0</v>
      </c>
      <c r="T32" s="151" t="s">
        <v>157</v>
      </c>
    </row>
    <row r="33" ht="15.75" spans="1:20">
      <c r="A33" s="6">
        <v>31</v>
      </c>
      <c r="B33" s="13"/>
      <c r="C33" s="188" t="s">
        <v>212</v>
      </c>
      <c r="D33" s="189" t="s">
        <v>213</v>
      </c>
      <c r="E33" s="190" t="s">
        <v>151</v>
      </c>
      <c r="F33" s="225" t="s">
        <v>214</v>
      </c>
      <c r="G33" s="46" t="s">
        <v>153</v>
      </c>
      <c r="H33" s="16" t="s">
        <v>215</v>
      </c>
      <c r="I33" s="16" t="s">
        <v>216</v>
      </c>
      <c r="J33" s="190" t="s">
        <v>217</v>
      </c>
      <c r="K33" s="102">
        <v>100</v>
      </c>
      <c r="L33" s="102">
        <v>100</v>
      </c>
      <c r="M33" s="16">
        <v>1</v>
      </c>
      <c r="N33" s="102">
        <f t="shared" si="0"/>
        <v>5</v>
      </c>
      <c r="O33" s="17" t="s">
        <v>30</v>
      </c>
      <c r="P33" s="103">
        <v>0.0015</v>
      </c>
      <c r="Q33" s="149">
        <f t="shared" si="2"/>
        <v>0.15</v>
      </c>
      <c r="R33" s="103">
        <v>0.0015</v>
      </c>
      <c r="S33" s="149">
        <f t="shared" si="1"/>
        <v>0.15</v>
      </c>
      <c r="T33" s="151" t="s">
        <v>157</v>
      </c>
    </row>
    <row r="34" ht="15.75" spans="1:20">
      <c r="A34" s="6">
        <v>32</v>
      </c>
      <c r="B34" s="13"/>
      <c r="C34" s="188" t="s">
        <v>218</v>
      </c>
      <c r="D34" s="189" t="s">
        <v>219</v>
      </c>
      <c r="E34" s="190" t="s">
        <v>151</v>
      </c>
      <c r="F34" s="225" t="s">
        <v>220</v>
      </c>
      <c r="G34" s="46" t="s">
        <v>51</v>
      </c>
      <c r="H34" s="16" t="s">
        <v>221</v>
      </c>
      <c r="I34" s="124" t="s">
        <v>222</v>
      </c>
      <c r="J34" s="190" t="s">
        <v>223</v>
      </c>
      <c r="K34" s="102">
        <v>100</v>
      </c>
      <c r="L34" s="102">
        <v>100</v>
      </c>
      <c r="M34" s="16">
        <v>1</v>
      </c>
      <c r="N34" s="102">
        <f t="shared" si="0"/>
        <v>5</v>
      </c>
      <c r="O34" s="17" t="s">
        <v>30</v>
      </c>
      <c r="P34" s="103">
        <v>0.0015</v>
      </c>
      <c r="Q34" s="149">
        <f t="shared" si="2"/>
        <v>0.15</v>
      </c>
      <c r="R34" s="103">
        <v>0.0015</v>
      </c>
      <c r="S34" s="149">
        <f t="shared" si="1"/>
        <v>0.15</v>
      </c>
      <c r="T34" s="151" t="s">
        <v>157</v>
      </c>
    </row>
    <row r="35" ht="15.75" spans="1:20">
      <c r="A35" s="6">
        <v>33</v>
      </c>
      <c r="B35" s="25"/>
      <c r="C35" s="218" t="s">
        <v>224</v>
      </c>
      <c r="D35" s="219" t="s">
        <v>225</v>
      </c>
      <c r="E35" s="220" t="s">
        <v>151</v>
      </c>
      <c r="F35" s="230" t="s">
        <v>226</v>
      </c>
      <c r="G35" s="64" t="s">
        <v>227</v>
      </c>
      <c r="H35" s="57" t="s">
        <v>228</v>
      </c>
      <c r="I35" s="125" t="s">
        <v>229</v>
      </c>
      <c r="J35" s="220" t="s">
        <v>230</v>
      </c>
      <c r="K35" s="105">
        <v>100</v>
      </c>
      <c r="L35" s="105">
        <v>100</v>
      </c>
      <c r="M35" s="57">
        <v>4</v>
      </c>
      <c r="N35" s="105">
        <f t="shared" si="0"/>
        <v>20</v>
      </c>
      <c r="O35" s="64" t="s">
        <v>30</v>
      </c>
      <c r="P35" s="117">
        <v>0.0012</v>
      </c>
      <c r="Q35" s="167">
        <f t="shared" si="2"/>
        <v>0.12</v>
      </c>
      <c r="R35" s="117">
        <v>0.0012</v>
      </c>
      <c r="S35" s="152">
        <f t="shared" si="1"/>
        <v>0.12</v>
      </c>
      <c r="T35" s="163" t="s">
        <v>157</v>
      </c>
    </row>
    <row r="36" ht="15.75" spans="1:20">
      <c r="A36" s="6">
        <v>34</v>
      </c>
      <c r="B36" s="73" t="s">
        <v>231</v>
      </c>
      <c r="C36" s="231" t="s">
        <v>232</v>
      </c>
      <c r="D36" s="232" t="s">
        <v>233</v>
      </c>
      <c r="E36" s="233" t="s">
        <v>49</v>
      </c>
      <c r="F36" s="233" t="s">
        <v>234</v>
      </c>
      <c r="G36" s="77" t="s">
        <v>235</v>
      </c>
      <c r="H36" s="76" t="s">
        <v>236</v>
      </c>
      <c r="I36" s="234" t="s">
        <v>28</v>
      </c>
      <c r="J36" s="233" t="s">
        <v>80</v>
      </c>
      <c r="K36" s="76">
        <v>2</v>
      </c>
      <c r="L36" s="76">
        <v>10</v>
      </c>
      <c r="M36" s="76">
        <v>1</v>
      </c>
      <c r="N36" s="127">
        <f t="shared" si="0"/>
        <v>5</v>
      </c>
      <c r="O36" s="128" t="s">
        <v>30</v>
      </c>
      <c r="P36" s="129">
        <v>0.9396</v>
      </c>
      <c r="Q36" s="168">
        <f t="shared" si="2"/>
        <v>1.8792</v>
      </c>
      <c r="R36" s="129">
        <v>0.6781</v>
      </c>
      <c r="S36" s="168">
        <f t="shared" si="1"/>
        <v>6.781</v>
      </c>
      <c r="T36" s="169"/>
    </row>
    <row r="37" ht="15.75" spans="1:20">
      <c r="A37" s="6">
        <v>35</v>
      </c>
      <c r="B37" s="52" t="s">
        <v>237</v>
      </c>
      <c r="C37" s="235" t="s">
        <v>238</v>
      </c>
      <c r="D37" s="213" t="s">
        <v>239</v>
      </c>
      <c r="E37" s="213" t="s">
        <v>49</v>
      </c>
      <c r="F37" s="185" t="s">
        <v>240</v>
      </c>
      <c r="G37" s="11" t="s">
        <v>241</v>
      </c>
      <c r="H37" s="10" t="s">
        <v>242</v>
      </c>
      <c r="I37" s="184" t="s">
        <v>28</v>
      </c>
      <c r="J37" s="213" t="s">
        <v>80</v>
      </c>
      <c r="K37" s="43">
        <v>2</v>
      </c>
      <c r="L37" s="43">
        <v>6</v>
      </c>
      <c r="M37" s="43">
        <v>1</v>
      </c>
      <c r="N37" s="99">
        <f t="shared" si="0"/>
        <v>5</v>
      </c>
      <c r="O37" s="130" t="s">
        <v>30</v>
      </c>
      <c r="P37" s="131">
        <v>4.4379</v>
      </c>
      <c r="Q37" s="147">
        <f t="shared" si="2"/>
        <v>8.8758</v>
      </c>
      <c r="R37" s="131">
        <v>4.4379</v>
      </c>
      <c r="S37" s="147">
        <f t="shared" si="1"/>
        <v>26.6274</v>
      </c>
      <c r="T37" s="170"/>
    </row>
    <row r="38" s="1" customFormat="1" ht="15.75" spans="1:20">
      <c r="A38" s="6">
        <v>36</v>
      </c>
      <c r="B38" s="62"/>
      <c r="C38" s="192" t="s">
        <v>243</v>
      </c>
      <c r="D38" s="189" t="s">
        <v>244</v>
      </c>
      <c r="E38" s="194" t="s">
        <v>245</v>
      </c>
      <c r="F38" s="194" t="s">
        <v>246</v>
      </c>
      <c r="G38" s="63" t="s">
        <v>247</v>
      </c>
      <c r="H38" s="16" t="s">
        <v>80</v>
      </c>
      <c r="I38" s="229" t="s">
        <v>28</v>
      </c>
      <c r="J38" s="194" t="s">
        <v>80</v>
      </c>
      <c r="K38" s="21">
        <v>2</v>
      </c>
      <c r="L38" s="21">
        <v>6</v>
      </c>
      <c r="M38" s="21">
        <v>1</v>
      </c>
      <c r="N38" s="102">
        <f t="shared" si="0"/>
        <v>5</v>
      </c>
      <c r="O38" s="132" t="s">
        <v>125</v>
      </c>
      <c r="P38" s="121">
        <v>1.6</v>
      </c>
      <c r="Q38" s="149">
        <f t="shared" si="2"/>
        <v>3.2</v>
      </c>
      <c r="R38" s="121">
        <v>1.6</v>
      </c>
      <c r="S38" s="149">
        <f t="shared" si="1"/>
        <v>9.6</v>
      </c>
      <c r="T38" s="171" t="s">
        <v>248</v>
      </c>
    </row>
    <row r="39" ht="15.75" spans="1:20">
      <c r="A39" s="6">
        <v>37</v>
      </c>
      <c r="B39" s="62"/>
      <c r="C39" s="188" t="s">
        <v>249</v>
      </c>
      <c r="D39" s="189" t="s">
        <v>250</v>
      </c>
      <c r="E39" s="190" t="s">
        <v>251</v>
      </c>
      <c r="F39" s="190" t="s">
        <v>252</v>
      </c>
      <c r="G39" s="46" t="s">
        <v>253</v>
      </c>
      <c r="H39" s="46" t="s">
        <v>80</v>
      </c>
      <c r="I39" s="229" t="s">
        <v>28</v>
      </c>
      <c r="J39" s="190" t="s">
        <v>80</v>
      </c>
      <c r="K39" s="16">
        <v>2</v>
      </c>
      <c r="L39" s="16">
        <v>6</v>
      </c>
      <c r="M39" s="16">
        <v>1</v>
      </c>
      <c r="N39" s="102">
        <f t="shared" si="0"/>
        <v>5</v>
      </c>
      <c r="O39" s="132" t="s">
        <v>125</v>
      </c>
      <c r="P39" s="103">
        <v>1.5</v>
      </c>
      <c r="Q39" s="149">
        <f t="shared" si="2"/>
        <v>3</v>
      </c>
      <c r="R39" s="103">
        <v>1.5</v>
      </c>
      <c r="S39" s="149">
        <f t="shared" si="1"/>
        <v>9</v>
      </c>
      <c r="T39" s="158" t="s">
        <v>254</v>
      </c>
    </row>
    <row r="40" ht="15.75" spans="1:20">
      <c r="A40" s="6">
        <v>38</v>
      </c>
      <c r="B40" s="62"/>
      <c r="C40" s="188" t="s">
        <v>255</v>
      </c>
      <c r="D40" s="189" t="s">
        <v>256</v>
      </c>
      <c r="E40" s="190" t="s">
        <v>257</v>
      </c>
      <c r="F40" s="190" t="s">
        <v>258</v>
      </c>
      <c r="G40" s="17" t="s">
        <v>259</v>
      </c>
      <c r="H40" s="16" t="s">
        <v>80</v>
      </c>
      <c r="I40" s="229" t="s">
        <v>28</v>
      </c>
      <c r="J40" s="190" t="s">
        <v>80</v>
      </c>
      <c r="K40" s="16"/>
      <c r="L40" s="16"/>
      <c r="M40" s="16">
        <v>1</v>
      </c>
      <c r="N40" s="102">
        <f t="shared" si="0"/>
        <v>5</v>
      </c>
      <c r="O40" s="17"/>
      <c r="P40" s="103"/>
      <c r="Q40" s="149">
        <f t="shared" si="2"/>
        <v>0</v>
      </c>
      <c r="R40" s="103"/>
      <c r="S40" s="149">
        <f t="shared" si="1"/>
        <v>0</v>
      </c>
      <c r="T40" s="151"/>
    </row>
    <row r="41" ht="15.75" spans="1:20">
      <c r="A41" s="6">
        <v>39</v>
      </c>
      <c r="B41" s="62"/>
      <c r="C41" s="192" t="s">
        <v>260</v>
      </c>
      <c r="D41" s="193" t="s">
        <v>261</v>
      </c>
      <c r="E41" s="79" t="s">
        <v>262</v>
      </c>
      <c r="F41" s="194" t="s">
        <v>263</v>
      </c>
      <c r="G41" s="80" t="s">
        <v>264</v>
      </c>
      <c r="H41" s="16" t="s">
        <v>265</v>
      </c>
      <c r="I41" s="229" t="s">
        <v>28</v>
      </c>
      <c r="J41" s="194" t="s">
        <v>80</v>
      </c>
      <c r="K41" s="21">
        <v>2</v>
      </c>
      <c r="L41" s="21">
        <v>6</v>
      </c>
      <c r="M41" s="21">
        <v>1</v>
      </c>
      <c r="N41" s="102">
        <f t="shared" si="0"/>
        <v>5</v>
      </c>
      <c r="O41" s="63" t="s">
        <v>30</v>
      </c>
      <c r="P41" s="121">
        <v>0.5843</v>
      </c>
      <c r="Q41" s="149">
        <f t="shared" si="2"/>
        <v>1.1686</v>
      </c>
      <c r="R41" s="121">
        <v>0.5843</v>
      </c>
      <c r="S41" s="149">
        <f t="shared" si="1"/>
        <v>3.5058</v>
      </c>
      <c r="T41" s="171"/>
    </row>
    <row r="42" ht="15.75" spans="1:20">
      <c r="A42" s="6">
        <v>40</v>
      </c>
      <c r="B42" s="62"/>
      <c r="C42" s="188" t="s">
        <v>266</v>
      </c>
      <c r="D42" s="189" t="s">
        <v>267</v>
      </c>
      <c r="E42" s="190" t="s">
        <v>268</v>
      </c>
      <c r="F42" s="190" t="s">
        <v>269</v>
      </c>
      <c r="G42" s="17" t="s">
        <v>247</v>
      </c>
      <c r="H42" s="16" t="s">
        <v>270</v>
      </c>
      <c r="I42" s="229" t="s">
        <v>28</v>
      </c>
      <c r="J42" s="190" t="s">
        <v>80</v>
      </c>
      <c r="K42" s="16">
        <v>4</v>
      </c>
      <c r="L42" s="16">
        <v>17</v>
      </c>
      <c r="M42" s="16">
        <v>3</v>
      </c>
      <c r="N42" s="102">
        <f t="shared" si="0"/>
        <v>15</v>
      </c>
      <c r="O42" s="17" t="s">
        <v>30</v>
      </c>
      <c r="P42" s="103">
        <v>0.2246</v>
      </c>
      <c r="Q42" s="149">
        <f t="shared" si="2"/>
        <v>0.8984</v>
      </c>
      <c r="R42" s="103">
        <v>0.1689</v>
      </c>
      <c r="S42" s="149">
        <f t="shared" si="1"/>
        <v>2.8713</v>
      </c>
      <c r="T42" s="151"/>
    </row>
    <row r="43" ht="15.75" spans="1:20">
      <c r="A43" s="6">
        <v>41</v>
      </c>
      <c r="B43" s="62"/>
      <c r="C43" s="188" t="s">
        <v>271</v>
      </c>
      <c r="D43" s="193" t="s">
        <v>272</v>
      </c>
      <c r="E43" s="190" t="s">
        <v>273</v>
      </c>
      <c r="F43" s="190" t="s">
        <v>274</v>
      </c>
      <c r="G43" s="63" t="s">
        <v>275</v>
      </c>
      <c r="H43" s="16"/>
      <c r="I43" s="229" t="s">
        <v>28</v>
      </c>
      <c r="J43" s="194" t="s">
        <v>80</v>
      </c>
      <c r="K43" s="21">
        <v>1</v>
      </c>
      <c r="L43" s="21"/>
      <c r="M43" s="21">
        <v>1</v>
      </c>
      <c r="N43" s="102">
        <f t="shared" si="0"/>
        <v>5</v>
      </c>
      <c r="O43" s="63"/>
      <c r="P43" s="121"/>
      <c r="Q43" s="149">
        <f t="shared" si="2"/>
        <v>0</v>
      </c>
      <c r="R43" s="121"/>
      <c r="S43" s="149">
        <f t="shared" si="1"/>
        <v>0</v>
      </c>
      <c r="T43" s="171"/>
    </row>
    <row r="44" ht="15.75" spans="1:20">
      <c r="A44" s="6">
        <v>42</v>
      </c>
      <c r="B44" s="62"/>
      <c r="C44" s="188" t="s">
        <v>276</v>
      </c>
      <c r="D44" s="193" t="s">
        <v>277</v>
      </c>
      <c r="E44" s="190" t="s">
        <v>278</v>
      </c>
      <c r="F44" s="190" t="s">
        <v>279</v>
      </c>
      <c r="G44" s="17" t="s">
        <v>280</v>
      </c>
      <c r="H44" s="16" t="s">
        <v>80</v>
      </c>
      <c r="I44" s="191" t="s">
        <v>28</v>
      </c>
      <c r="J44" s="16"/>
      <c r="K44" s="16">
        <v>2</v>
      </c>
      <c r="L44" s="16">
        <v>6</v>
      </c>
      <c r="M44" s="16">
        <v>1</v>
      </c>
      <c r="N44" s="102">
        <f t="shared" si="0"/>
        <v>5</v>
      </c>
      <c r="O44" s="114" t="s">
        <v>125</v>
      </c>
      <c r="P44" s="103">
        <v>1</v>
      </c>
      <c r="Q44" s="149">
        <f t="shared" si="2"/>
        <v>2</v>
      </c>
      <c r="R44" s="103">
        <v>1</v>
      </c>
      <c r="S44" s="149">
        <f t="shared" si="1"/>
        <v>6</v>
      </c>
      <c r="T44" s="171" t="s">
        <v>281</v>
      </c>
    </row>
    <row r="45" s="1" customFormat="1" ht="15.75" spans="1:20">
      <c r="A45" s="6">
        <v>43</v>
      </c>
      <c r="B45" s="54"/>
      <c r="C45" s="218" t="s">
        <v>276</v>
      </c>
      <c r="D45" s="219" t="s">
        <v>282</v>
      </c>
      <c r="E45" s="220" t="s">
        <v>283</v>
      </c>
      <c r="F45" s="220" t="s">
        <v>284</v>
      </c>
      <c r="G45" s="81" t="s">
        <v>285</v>
      </c>
      <c r="H45" s="57" t="s">
        <v>80</v>
      </c>
      <c r="I45" s="221" t="s">
        <v>28</v>
      </c>
      <c r="J45" s="220" t="s">
        <v>80</v>
      </c>
      <c r="K45" s="57">
        <v>2</v>
      </c>
      <c r="L45" s="57">
        <v>6</v>
      </c>
      <c r="M45" s="57">
        <v>1</v>
      </c>
      <c r="N45" s="105">
        <f t="shared" si="0"/>
        <v>5</v>
      </c>
      <c r="O45" s="133" t="s">
        <v>125</v>
      </c>
      <c r="P45" s="117">
        <v>9.3</v>
      </c>
      <c r="Q45" s="152">
        <f t="shared" si="2"/>
        <v>18.6</v>
      </c>
      <c r="R45" s="117">
        <v>9.3</v>
      </c>
      <c r="S45" s="152">
        <f t="shared" si="1"/>
        <v>55.8</v>
      </c>
      <c r="T45" s="172" t="s">
        <v>248</v>
      </c>
    </row>
    <row r="46" ht="15.75" spans="1:20">
      <c r="A46" s="6">
        <v>44</v>
      </c>
      <c r="B46" s="62" t="s">
        <v>286</v>
      </c>
      <c r="C46" s="188" t="s">
        <v>287</v>
      </c>
      <c r="D46" s="189" t="s">
        <v>288</v>
      </c>
      <c r="E46" s="190" t="s">
        <v>49</v>
      </c>
      <c r="F46" s="190" t="s">
        <v>289</v>
      </c>
      <c r="G46" s="18" t="s">
        <v>290</v>
      </c>
      <c r="H46" s="16" t="s">
        <v>291</v>
      </c>
      <c r="I46" s="191" t="s">
        <v>28</v>
      </c>
      <c r="J46" s="190" t="s">
        <v>80</v>
      </c>
      <c r="K46" s="102">
        <v>2</v>
      </c>
      <c r="L46" s="102">
        <v>6</v>
      </c>
      <c r="M46" s="16">
        <v>1</v>
      </c>
      <c r="N46" s="102">
        <f t="shared" si="0"/>
        <v>5</v>
      </c>
      <c r="O46" s="17" t="s">
        <v>30</v>
      </c>
      <c r="P46" s="103">
        <v>2.1766</v>
      </c>
      <c r="Q46" s="165">
        <f t="shared" si="2"/>
        <v>4.3532</v>
      </c>
      <c r="R46" s="103">
        <v>2.1766</v>
      </c>
      <c r="S46" s="154">
        <f t="shared" si="1"/>
        <v>13.0596</v>
      </c>
      <c r="T46" s="151"/>
    </row>
    <row r="47" ht="15.75" spans="1:20">
      <c r="A47" s="6">
        <v>45</v>
      </c>
      <c r="B47" s="82"/>
      <c r="C47" s="188" t="s">
        <v>292</v>
      </c>
      <c r="D47" s="193" t="s">
        <v>293</v>
      </c>
      <c r="E47" s="190" t="s">
        <v>49</v>
      </c>
      <c r="F47" s="190" t="s">
        <v>294</v>
      </c>
      <c r="G47" s="18" t="s">
        <v>80</v>
      </c>
      <c r="H47" s="190" t="s">
        <v>295</v>
      </c>
      <c r="I47" s="190" t="s">
        <v>295</v>
      </c>
      <c r="J47" s="190" t="s">
        <v>80</v>
      </c>
      <c r="K47" s="102">
        <v>1</v>
      </c>
      <c r="L47" s="102">
        <v>2</v>
      </c>
      <c r="M47" s="16">
        <v>2</v>
      </c>
      <c r="N47" s="102">
        <f t="shared" si="0"/>
        <v>10</v>
      </c>
      <c r="O47" s="114" t="s">
        <v>296</v>
      </c>
      <c r="P47" s="103">
        <v>1.16</v>
      </c>
      <c r="Q47" s="165">
        <f t="shared" si="2"/>
        <v>1.16</v>
      </c>
      <c r="R47" s="103">
        <v>1.16</v>
      </c>
      <c r="S47" s="149">
        <f t="shared" si="1"/>
        <v>2.32</v>
      </c>
      <c r="T47" s="151"/>
    </row>
    <row r="48" ht="15.75" spans="1:20">
      <c r="A48" s="6">
        <v>46</v>
      </c>
      <c r="B48" s="82"/>
      <c r="C48" s="188" t="s">
        <v>297</v>
      </c>
      <c r="D48" s="193" t="s">
        <v>298</v>
      </c>
      <c r="E48" s="190" t="s">
        <v>49</v>
      </c>
      <c r="F48" s="190" t="s">
        <v>299</v>
      </c>
      <c r="G48" s="18" t="s">
        <v>80</v>
      </c>
      <c r="H48" s="190" t="s">
        <v>295</v>
      </c>
      <c r="I48" s="190" t="s">
        <v>295</v>
      </c>
      <c r="J48" s="190" t="s">
        <v>80</v>
      </c>
      <c r="K48" s="102">
        <v>1</v>
      </c>
      <c r="L48" s="102">
        <v>1</v>
      </c>
      <c r="M48" s="16">
        <v>1</v>
      </c>
      <c r="N48" s="102">
        <f t="shared" si="0"/>
        <v>5</v>
      </c>
      <c r="O48" s="114" t="s">
        <v>296</v>
      </c>
      <c r="P48" s="103">
        <v>0.77</v>
      </c>
      <c r="Q48" s="165">
        <f t="shared" si="2"/>
        <v>0.77</v>
      </c>
      <c r="R48" s="103">
        <v>0.77</v>
      </c>
      <c r="S48" s="149">
        <f t="shared" si="1"/>
        <v>0.77</v>
      </c>
      <c r="T48" s="151"/>
    </row>
    <row r="49" ht="15.75" spans="1:20">
      <c r="A49" s="6">
        <v>47</v>
      </c>
      <c r="B49" s="82"/>
      <c r="C49" s="188" t="s">
        <v>300</v>
      </c>
      <c r="D49" s="193" t="s">
        <v>301</v>
      </c>
      <c r="E49" s="190" t="s">
        <v>49</v>
      </c>
      <c r="F49" s="190" t="s">
        <v>302</v>
      </c>
      <c r="G49" s="18" t="s">
        <v>80</v>
      </c>
      <c r="H49" s="190" t="s">
        <v>295</v>
      </c>
      <c r="I49" s="190" t="s">
        <v>295</v>
      </c>
      <c r="J49" s="190" t="s">
        <v>80</v>
      </c>
      <c r="K49" s="102">
        <v>1</v>
      </c>
      <c r="L49" s="102">
        <v>3</v>
      </c>
      <c r="M49" s="16">
        <v>5</v>
      </c>
      <c r="N49" s="102">
        <f t="shared" si="0"/>
        <v>25</v>
      </c>
      <c r="O49" s="114" t="s">
        <v>296</v>
      </c>
      <c r="P49" s="103">
        <v>0.73</v>
      </c>
      <c r="Q49" s="165">
        <f t="shared" si="2"/>
        <v>0.73</v>
      </c>
      <c r="R49" s="103">
        <v>2.19</v>
      </c>
      <c r="S49" s="149">
        <f t="shared" si="1"/>
        <v>6.57</v>
      </c>
      <c r="T49" s="151"/>
    </row>
    <row r="50" ht="15.75" spans="1:20">
      <c r="A50" s="6">
        <v>48</v>
      </c>
      <c r="B50" s="82"/>
      <c r="C50" s="188" t="s">
        <v>303</v>
      </c>
      <c r="D50" s="193" t="s">
        <v>304</v>
      </c>
      <c r="E50" s="190" t="s">
        <v>305</v>
      </c>
      <c r="F50" s="190" t="s">
        <v>305</v>
      </c>
      <c r="G50" s="18" t="s">
        <v>80</v>
      </c>
      <c r="H50" s="190" t="s">
        <v>295</v>
      </c>
      <c r="I50" s="190" t="s">
        <v>295</v>
      </c>
      <c r="J50" s="190" t="s">
        <v>80</v>
      </c>
      <c r="K50" s="102">
        <v>1</v>
      </c>
      <c r="L50" s="102">
        <v>3</v>
      </c>
      <c r="M50" s="16">
        <v>5</v>
      </c>
      <c r="N50" s="102">
        <f t="shared" si="0"/>
        <v>25</v>
      </c>
      <c r="O50" s="114" t="s">
        <v>296</v>
      </c>
      <c r="P50" s="103">
        <v>0.72</v>
      </c>
      <c r="Q50" s="165">
        <f t="shared" si="2"/>
        <v>0.72</v>
      </c>
      <c r="R50" s="103">
        <v>0.72</v>
      </c>
      <c r="S50" s="149">
        <f t="shared" si="1"/>
        <v>2.16</v>
      </c>
      <c r="T50" s="151"/>
    </row>
    <row r="51" ht="15.75" spans="1:20">
      <c r="A51" s="6">
        <v>49</v>
      </c>
      <c r="B51" s="82"/>
      <c r="C51" s="236" t="s">
        <v>306</v>
      </c>
      <c r="D51" s="237" t="s">
        <v>307</v>
      </c>
      <c r="E51" s="237" t="s">
        <v>49</v>
      </c>
      <c r="F51" s="85" t="s">
        <v>308</v>
      </c>
      <c r="G51" s="238" t="s">
        <v>309</v>
      </c>
      <c r="H51" s="85"/>
      <c r="I51" s="238" t="s">
        <v>309</v>
      </c>
      <c r="J51" s="238" t="s">
        <v>310</v>
      </c>
      <c r="K51" s="85"/>
      <c r="L51" s="85"/>
      <c r="M51" s="134">
        <v>1</v>
      </c>
      <c r="N51" s="134">
        <f t="shared" si="0"/>
        <v>5</v>
      </c>
      <c r="O51" s="238" t="s">
        <v>309</v>
      </c>
      <c r="P51" s="239" t="s">
        <v>309</v>
      </c>
      <c r="Q51" s="239" t="s">
        <v>309</v>
      </c>
      <c r="R51" s="239" t="s">
        <v>309</v>
      </c>
      <c r="S51" s="239" t="s">
        <v>309</v>
      </c>
      <c r="T51" s="173" t="s">
        <v>311</v>
      </c>
    </row>
    <row r="52" ht="15.75" spans="1:20">
      <c r="A52" s="6">
        <v>50</v>
      </c>
      <c r="B52" s="54"/>
      <c r="C52" s="240" t="s">
        <v>312</v>
      </c>
      <c r="D52" s="241" t="s">
        <v>313</v>
      </c>
      <c r="E52" s="241" t="s">
        <v>49</v>
      </c>
      <c r="F52" s="88" t="s">
        <v>314</v>
      </c>
      <c r="G52" s="242" t="s">
        <v>309</v>
      </c>
      <c r="H52" s="88"/>
      <c r="I52" s="242" t="s">
        <v>309</v>
      </c>
      <c r="J52" s="242" t="s">
        <v>315</v>
      </c>
      <c r="K52" s="88"/>
      <c r="L52" s="88"/>
      <c r="M52" s="136">
        <v>4</v>
      </c>
      <c r="N52" s="137">
        <f t="shared" si="0"/>
        <v>20</v>
      </c>
      <c r="O52" s="242" t="s">
        <v>309</v>
      </c>
      <c r="P52" s="243" t="s">
        <v>309</v>
      </c>
      <c r="Q52" s="243" t="s">
        <v>309</v>
      </c>
      <c r="R52" s="243" t="s">
        <v>309</v>
      </c>
      <c r="S52" s="243" t="s">
        <v>309</v>
      </c>
      <c r="T52" s="174" t="s">
        <v>311</v>
      </c>
    </row>
    <row r="53" ht="19.5" customHeight="1" spans="1:20">
      <c r="A53" s="6">
        <v>51</v>
      </c>
      <c r="B53" s="7" t="s">
        <v>316</v>
      </c>
      <c r="C53" s="212" t="s">
        <v>317</v>
      </c>
      <c r="D53" s="89"/>
      <c r="E53" s="185" t="s">
        <v>49</v>
      </c>
      <c r="F53" s="185" t="s">
        <v>318</v>
      </c>
      <c r="G53" s="90"/>
      <c r="H53" s="90"/>
      <c r="I53" s="90"/>
      <c r="J53" s="90"/>
      <c r="K53" s="90"/>
      <c r="L53" s="139"/>
      <c r="M53" s="140">
        <v>2</v>
      </c>
      <c r="N53" s="99">
        <f t="shared" si="0"/>
        <v>10</v>
      </c>
      <c r="O53" s="116" t="s">
        <v>319</v>
      </c>
      <c r="P53" s="90"/>
      <c r="Q53" s="90"/>
      <c r="R53" s="90"/>
      <c r="S53" s="90"/>
      <c r="T53" s="175"/>
    </row>
    <row r="54" ht="26.25" spans="1:20">
      <c r="A54" s="6">
        <v>52</v>
      </c>
      <c r="B54" s="13"/>
      <c r="C54" s="244" t="s">
        <v>320</v>
      </c>
      <c r="D54" s="92"/>
      <c r="E54" s="190" t="s">
        <v>49</v>
      </c>
      <c r="F54" s="190" t="s">
        <v>321</v>
      </c>
      <c r="G54" s="92"/>
      <c r="H54" s="92"/>
      <c r="I54" s="92"/>
      <c r="J54" s="92"/>
      <c r="K54" s="92"/>
      <c r="L54" s="92"/>
      <c r="M54" s="94">
        <v>2</v>
      </c>
      <c r="N54" s="102">
        <f t="shared" si="0"/>
        <v>10</v>
      </c>
      <c r="O54" s="141" t="s">
        <v>319</v>
      </c>
      <c r="P54" s="92"/>
      <c r="Q54" s="92"/>
      <c r="R54" s="92"/>
      <c r="S54" s="92"/>
      <c r="T54" s="176"/>
    </row>
    <row r="55" ht="26.25" spans="1:20">
      <c r="A55" s="6">
        <v>53</v>
      </c>
      <c r="B55" s="13"/>
      <c r="C55" s="244" t="s">
        <v>322</v>
      </c>
      <c r="D55" s="92"/>
      <c r="E55" s="190" t="s">
        <v>49</v>
      </c>
      <c r="F55" s="190" t="s">
        <v>323</v>
      </c>
      <c r="G55" s="92"/>
      <c r="H55" s="92"/>
      <c r="I55" s="92"/>
      <c r="J55" s="92"/>
      <c r="K55" s="92"/>
      <c r="L55" s="92"/>
      <c r="M55" s="94">
        <v>1</v>
      </c>
      <c r="N55" s="102">
        <f t="shared" si="0"/>
        <v>5</v>
      </c>
      <c r="O55" s="114" t="s">
        <v>319</v>
      </c>
      <c r="P55" s="92"/>
      <c r="Q55" s="92"/>
      <c r="R55" s="92"/>
      <c r="S55" s="92"/>
      <c r="T55" s="176"/>
    </row>
    <row r="56" ht="15.75" spans="1:20">
      <c r="A56" s="6">
        <v>54</v>
      </c>
      <c r="B56" s="13"/>
      <c r="C56" s="244" t="s">
        <v>324</v>
      </c>
      <c r="D56" s="92"/>
      <c r="E56" s="190" t="s">
        <v>49</v>
      </c>
      <c r="F56" s="190" t="s">
        <v>325</v>
      </c>
      <c r="G56" s="92"/>
      <c r="H56" s="92"/>
      <c r="I56" s="92"/>
      <c r="J56" s="92"/>
      <c r="K56" s="92"/>
      <c r="L56" s="92"/>
      <c r="M56" s="94">
        <v>1</v>
      </c>
      <c r="N56" s="102">
        <f t="shared" si="0"/>
        <v>5</v>
      </c>
      <c r="O56" s="114"/>
      <c r="P56" s="92"/>
      <c r="Q56" s="92"/>
      <c r="R56" s="92"/>
      <c r="S56" s="92"/>
      <c r="T56" s="176"/>
    </row>
    <row r="57" ht="15.75" spans="1:20">
      <c r="A57" s="6">
        <v>55</v>
      </c>
      <c r="B57" s="13"/>
      <c r="C57" s="244" t="s">
        <v>326</v>
      </c>
      <c r="D57" s="92"/>
      <c r="E57" s="190" t="s">
        <v>49</v>
      </c>
      <c r="F57" s="190" t="s">
        <v>327</v>
      </c>
      <c r="G57" s="92"/>
      <c r="H57" s="92"/>
      <c r="I57" s="92"/>
      <c r="J57" s="92"/>
      <c r="K57" s="92"/>
      <c r="L57" s="92"/>
      <c r="M57" s="94">
        <v>1</v>
      </c>
      <c r="N57" s="102">
        <f t="shared" si="0"/>
        <v>5</v>
      </c>
      <c r="O57" s="114" t="s">
        <v>319</v>
      </c>
      <c r="P57" s="92"/>
      <c r="Q57" s="92"/>
      <c r="R57" s="92"/>
      <c r="S57" s="92"/>
      <c r="T57" s="176"/>
    </row>
    <row r="58" ht="15.75" spans="1:20">
      <c r="A58" s="6">
        <v>56</v>
      </c>
      <c r="B58" s="13"/>
      <c r="C58" s="93"/>
      <c r="D58" s="92"/>
      <c r="E58" s="190" t="s">
        <v>49</v>
      </c>
      <c r="F58" s="94" t="s">
        <v>328</v>
      </c>
      <c r="G58" s="92"/>
      <c r="H58" s="92"/>
      <c r="I58" s="92"/>
      <c r="J58" s="92"/>
      <c r="K58" s="92"/>
      <c r="L58" s="92"/>
      <c r="M58" s="94">
        <v>1</v>
      </c>
      <c r="N58" s="102">
        <f t="shared" si="0"/>
        <v>5</v>
      </c>
      <c r="O58" s="92"/>
      <c r="P58" s="92"/>
      <c r="Q58" s="92"/>
      <c r="R58" s="92"/>
      <c r="S58" s="92"/>
      <c r="T58" s="176"/>
    </row>
    <row r="59" ht="30.75" spans="1:20">
      <c r="A59" s="95">
        <v>57</v>
      </c>
      <c r="B59" s="25"/>
      <c r="C59" s="96" t="s">
        <v>329</v>
      </c>
      <c r="D59" s="97"/>
      <c r="E59" s="220" t="s">
        <v>49</v>
      </c>
      <c r="F59" s="98" t="s">
        <v>330</v>
      </c>
      <c r="G59" s="97"/>
      <c r="H59" s="97"/>
      <c r="I59" s="97"/>
      <c r="J59" s="97"/>
      <c r="K59" s="97"/>
      <c r="L59" s="142"/>
      <c r="M59" s="143">
        <v>2</v>
      </c>
      <c r="N59" s="104">
        <f t="shared" si="0"/>
        <v>10</v>
      </c>
      <c r="O59" s="122" t="s">
        <v>319</v>
      </c>
      <c r="P59" s="97"/>
      <c r="Q59" s="97"/>
      <c r="R59" s="97"/>
      <c r="S59" s="97"/>
      <c r="T59" s="177"/>
    </row>
    <row r="60" ht="19.5" spans="13:19">
      <c r="M60" s="144" t="s">
        <v>331</v>
      </c>
      <c r="N60" s="144"/>
      <c r="O60" s="144"/>
      <c r="P60" s="144"/>
      <c r="Q60" s="178"/>
      <c r="R60" s="179"/>
      <c r="S60" s="180">
        <f>SUM(S3:S59)</f>
        <v>199.3165</v>
      </c>
    </row>
    <row r="61" ht="18.75" spans="13:19">
      <c r="M61" s="145" t="s">
        <v>332</v>
      </c>
      <c r="N61" s="145"/>
      <c r="O61" s="145"/>
      <c r="P61" s="145"/>
      <c r="Q61" s="181">
        <f>SUM(Q3:Q60)</f>
        <v>69.7121</v>
      </c>
      <c r="R61" s="182"/>
      <c r="S61" s="181">
        <f>S60/5</f>
        <v>39.8633</v>
      </c>
    </row>
    <row r="63" ht="18.75" spans="13:19">
      <c r="M63" s="145" t="s">
        <v>333</v>
      </c>
      <c r="N63" s="145"/>
      <c r="O63" s="145"/>
      <c r="P63" s="145"/>
      <c r="Q63" s="103">
        <v>1.89</v>
      </c>
      <c r="S63" s="103">
        <v>1.89</v>
      </c>
    </row>
  </sheetData>
  <mergeCells count="13">
    <mergeCell ref="A1:T1"/>
    <mergeCell ref="M60:P60"/>
    <mergeCell ref="M61:P61"/>
    <mergeCell ref="M63:P63"/>
    <mergeCell ref="B3:B10"/>
    <mergeCell ref="B11:B13"/>
    <mergeCell ref="B14:B17"/>
    <mergeCell ref="B18:B19"/>
    <mergeCell ref="B20:B22"/>
    <mergeCell ref="B23:B35"/>
    <mergeCell ref="B37:B45"/>
    <mergeCell ref="B46:B52"/>
    <mergeCell ref="B53:B59"/>
  </mergeCells>
  <conditionalFormatting sqref="M5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1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{57ba64d3-025e-4230-97a5-f960fdbf72e0}</x14:id>
        </ext>
      </extLst>
    </cfRule>
  </conditionalFormatting>
  <conditionalFormatting sqref="T52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{64155f2b-1a15-4f02-a868-c3840ccb604d}</x14:id>
        </ext>
      </extLst>
    </cfRule>
  </conditionalFormatting>
  <conditionalFormatting sqref="Q6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{c4ada2c7-411c-4a64-af20-4ed816e28d9c}</x14:id>
        </ext>
      </extLst>
    </cfRule>
  </conditionalFormatting>
  <conditionalFormatting sqref="N51:N5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Q50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{0db3ecf2-ccee-4480-ae5d-7e796775ece2}</x14:id>
        </ext>
      </extLst>
    </cfRule>
  </conditionalFormatting>
  <conditionalFormatting sqref="S3:S50">
    <cfRule type="dataBar" priority="5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{0663ec7a-b4af-4747-9e57-236ea2665a70}</x14:id>
        </ext>
      </extLst>
    </cfRule>
  </conditionalFormatting>
  <conditionalFormatting sqref="S60:S6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{fdc91e5e-4559-48e0-a499-33d590286beb}</x14:id>
        </ext>
      </extLst>
    </cfRule>
  </conditionalFormatting>
  <conditionalFormatting sqref="M52:M59 N53:N59 M3:N50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G3" r:id="rId1" display="Samsung Electro-Mechanics"/>
    <hyperlink ref="G4" r:id="rId1" display="Samsung Electro-Mechanics"/>
    <hyperlink ref="G5" r:id="rId2" display="Taiyo Yuden"/>
    <hyperlink ref="G6" r:id="rId1" display="Samsung Electro-Mechanics"/>
    <hyperlink ref="G12" r:id="rId3" display="Diodes Incorporated"/>
    <hyperlink ref="G22" r:id="rId4" display="ON Semiconductor"/>
    <hyperlink ref="G29" r:id="rId5" display="YAGEO"/>
    <hyperlink ref="G41" r:id="rId6" display="Avia Semicon (Xiamen)"/>
    <hyperlink ref="G42" r:id="rId7" display="Texas Instruments"/>
    <hyperlink ref="G46" r:id="rId8" display="TE Connectivity"/>
    <hyperlink ref="G8" r:id="rId9" display="Nichicon"/>
    <hyperlink ref="G11" r:id="rId10" display="Central Semiconductor Corp"/>
    <hyperlink ref="G18" r:id="rId11" display="Würth Elektronik"/>
    <hyperlink ref="G20" r:id="rId3" display="Diodes Incorporated"/>
    <hyperlink ref="G19" r:id="rId12" display="TDK Corporation"/>
    <hyperlink ref="G25" r:id="rId13" display="TE Connectivity Passive Product"/>
    <hyperlink ref="G24" r:id="rId14" display="Rohm Semiconductor"/>
    <hyperlink ref="G28" r:id="rId15" display="Panasonic Electronic Components"/>
    <hyperlink ref="G23" r:id="rId16" display="Vishay Dale"/>
    <hyperlink ref="G26" r:id="rId16" display="Vishay Dale"/>
    <hyperlink ref="G33" r:id="rId16" display="Vishay Dale"/>
    <hyperlink ref="G34" r:id="rId17" display="Yageo"/>
    <hyperlink ref="G35" r:id="rId18" display="Stackpole Electronics Inc"/>
    <hyperlink ref="G38" r:id="rId19" display="Texas Instruments"/>
    <hyperlink ref="G39" r:id="rId20" display="STMicroelectronics"/>
    <hyperlink ref="G45" r:id="rId21" display="Analog Devices Inc."/>
    <hyperlink ref="G30" r:id="rId5" display="YAGEO"/>
    <hyperlink ref="G27" r:id="rId13" display="TE Connectivity Passive Product"/>
    <hyperlink ref="G37" r:id="rId22" display="Espressif Systems"/>
    <hyperlink ref="O5" r:id="rId23" display="LCSC"/>
    <hyperlink ref="O6" r:id="rId24" display="LCSC"/>
    <hyperlink ref="O3" r:id="rId25" display="LCSC"/>
    <hyperlink ref="O4" r:id="rId26" display="LCSC"/>
    <hyperlink ref="O12" r:id="rId27" display="LCSC"/>
    <hyperlink ref="O19" r:id="rId28" display="LCSC"/>
    <hyperlink ref="O20" r:id="rId29" display="LCSC"/>
    <hyperlink ref="O29" r:id="rId30" display="LCSC"/>
    <hyperlink ref="O25" r:id="rId31" display="LCSC"/>
    <hyperlink ref="O23" r:id="rId32" display="LCSC"/>
    <hyperlink ref="O26" r:id="rId33" display="LCSC"/>
    <hyperlink ref="O33" r:id="rId34" display="LCSC"/>
    <hyperlink ref="O34" r:id="rId35" display="LCSC"/>
    <hyperlink ref="O35" r:id="rId36" display="LCSC"/>
    <hyperlink ref="O46" r:id="rId37" display="LCSC"/>
    <hyperlink ref="O42" r:id="rId38" display="LCSC"/>
    <hyperlink ref="O30" r:id="rId39" display="LCSC"/>
    <hyperlink ref="O24" r:id="rId40" display="LCSC"/>
    <hyperlink ref="O28" r:id="rId41" display="LCSC"/>
    <hyperlink ref="O27" r:id="rId42" display="LCSC"/>
    <hyperlink ref="O36" r:id="rId43" display="LCSC"/>
    <hyperlink ref="O41" r:id="rId44" display="LCSC"/>
    <hyperlink ref="O9" r:id="rId45" display="LCSC"/>
    <hyperlink ref="O14" r:id="rId46" display="LCSC"/>
    <hyperlink ref="O15" r:id="rId47" display="LCSC"/>
    <hyperlink ref="O16" r:id="rId48" display="LCSC"/>
    <hyperlink ref="O10" r:id="rId49" display="LCSC"/>
    <hyperlink ref="G31" r:id="rId5" display="YAGEO"/>
    <hyperlink ref="O31" r:id="rId50" display="LCSC"/>
    <hyperlink ref="O53" r:id="rId51" display="Amazon"/>
    <hyperlink ref="O59" r:id="rId52" display="Amazon"/>
    <hyperlink ref="O54" r:id="rId53" display="Amazon"/>
    <hyperlink ref="O55" r:id="rId54" display="Amazon"/>
    <hyperlink ref="O57" r:id="rId55" display="Amazon"/>
    <hyperlink ref="O7" r:id="rId56" display="LCSC"/>
    <hyperlink ref="O13" r:id="rId57" display="LCSC"/>
    <hyperlink ref="O22" r:id="rId58" display="LCSC"/>
    <hyperlink ref="O37" r:id="rId59" display="LCSC"/>
    <hyperlink ref="G17" r:id="rId60" display="SunLED"/>
    <hyperlink ref="O17" r:id="rId61" display="LCSC"/>
    <hyperlink ref="O47" r:id="rId62" display="Aliexpress"/>
    <hyperlink ref="O48" r:id="rId62" display="Aliexpress"/>
    <hyperlink ref="O49" r:id="rId62" display="Aliexpress"/>
    <hyperlink ref="O50" r:id="rId63" display="Aliexpress"/>
  </hyperlink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ba64d3-025e-4230-97a5-f960fdbf72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T51</xm:sqref>
        </x14:conditionalFormatting>
        <x14:conditionalFormatting xmlns:xm="http://schemas.microsoft.com/office/excel/2006/main">
          <x14:cfRule type="dataBar" id="{64155f2b-1a15-4f02-a868-c3840ccb604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T52</xm:sqref>
        </x14:conditionalFormatting>
        <x14:conditionalFormatting xmlns:xm="http://schemas.microsoft.com/office/excel/2006/main">
          <x14:cfRule type="dataBar" id="{c4ada2c7-411c-4a64-af20-4ed816e28d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Q61</xm:sqref>
        </x14:conditionalFormatting>
        <x14:conditionalFormatting xmlns:xm="http://schemas.microsoft.com/office/excel/2006/main">
          <x14:cfRule type="dataBar" id="{0db3ecf2-ccee-4480-ae5d-7e796775ece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Q3:Q50</xm:sqref>
        </x14:conditionalFormatting>
        <x14:conditionalFormatting xmlns:xm="http://schemas.microsoft.com/office/excel/2006/main">
          <x14:cfRule type="dataBar" id="{0663ec7a-b4af-4747-9e57-236ea2665a7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S3:S50</xm:sqref>
        </x14:conditionalFormatting>
        <x14:conditionalFormatting xmlns:xm="http://schemas.microsoft.com/office/excel/2006/main">
          <x14:cfRule type="dataBar" id="{fdc91e5e-4559-48e0-a499-33d590286beb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S60:S61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texon</cp:lastModifiedBy>
  <dcterms:created xsi:type="dcterms:W3CDTF">2021-04-15T08:46:00Z</dcterms:created>
  <dcterms:modified xsi:type="dcterms:W3CDTF">2022-03-18T13:31:59Z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689880A43F964A969742029B57C07416</vt:lpwstr>
  </property>
  <property fmtid="{D5CDD505-2E9C-101B-9397-08002B2CF9AE}" pid="3" name="KSOProductBuildVer">
    <vt:lpwstr>1033-11.2.0.11029</vt:lpwstr>
  </property>
</Properties>
</file>