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FranciscoGimenez-HCDSHardware\Documents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0" i="1" l="1"/>
  <c r="Q61" i="1"/>
  <c r="N57" i="1" l="1"/>
  <c r="N56" i="1"/>
  <c r="N55" i="1"/>
  <c r="S10" i="1" l="1"/>
  <c r="Q10" i="1"/>
  <c r="N59" i="1" l="1"/>
  <c r="N58" i="1"/>
  <c r="N54" i="1"/>
  <c r="N53" i="1"/>
  <c r="Q49" i="1" l="1"/>
  <c r="Q44" i="1"/>
  <c r="Q8" i="1"/>
  <c r="Q42" i="1"/>
  <c r="Q3" i="1"/>
  <c r="S25" i="1"/>
  <c r="Q25" i="1"/>
  <c r="Q6" i="1"/>
  <c r="Q5" i="1"/>
  <c r="Q4" i="1"/>
  <c r="S4" i="1"/>
  <c r="S5" i="1"/>
  <c r="S7" i="1"/>
  <c r="S8" i="1"/>
  <c r="S9" i="1"/>
  <c r="S11" i="1"/>
  <c r="S12" i="1"/>
  <c r="S13" i="1"/>
  <c r="S15" i="1"/>
  <c r="S16" i="1"/>
  <c r="S17" i="1"/>
  <c r="S21" i="1"/>
  <c r="S23" i="1"/>
  <c r="S35" i="1"/>
  <c r="S48" i="1"/>
  <c r="S3" i="1"/>
  <c r="Q15" i="1"/>
  <c r="Q16" i="1"/>
  <c r="Q17" i="1"/>
  <c r="N6" i="1"/>
  <c r="S6" i="1" s="1"/>
  <c r="N14" i="1"/>
  <c r="S14" i="1" s="1"/>
  <c r="N18" i="1"/>
  <c r="S18" i="1" s="1"/>
  <c r="N19" i="1"/>
  <c r="S19" i="1" s="1"/>
  <c r="N20" i="1"/>
  <c r="S20" i="1" s="1"/>
  <c r="N22" i="1"/>
  <c r="S22" i="1" s="1"/>
  <c r="N24" i="1"/>
  <c r="S24" i="1" s="1"/>
  <c r="N26" i="1"/>
  <c r="S26" i="1" s="1"/>
  <c r="N27" i="1"/>
  <c r="S27" i="1" s="1"/>
  <c r="N28" i="1"/>
  <c r="S28" i="1" s="1"/>
  <c r="N29" i="1"/>
  <c r="S29" i="1" s="1"/>
  <c r="N30" i="1"/>
  <c r="S30" i="1" s="1"/>
  <c r="N31" i="1"/>
  <c r="S31" i="1" s="1"/>
  <c r="N32" i="1"/>
  <c r="S32" i="1" s="1"/>
  <c r="N33" i="1"/>
  <c r="S33" i="1" s="1"/>
  <c r="N34" i="1"/>
  <c r="S34" i="1" s="1"/>
  <c r="N35" i="1"/>
  <c r="N36" i="1"/>
  <c r="S36" i="1" s="1"/>
  <c r="N37" i="1"/>
  <c r="S37" i="1" s="1"/>
  <c r="N38" i="1"/>
  <c r="S38" i="1" s="1"/>
  <c r="N39" i="1"/>
  <c r="S39" i="1" s="1"/>
  <c r="N40" i="1"/>
  <c r="S40" i="1" s="1"/>
  <c r="N41" i="1"/>
  <c r="S41" i="1" s="1"/>
  <c r="N42" i="1"/>
  <c r="S42" i="1" s="1"/>
  <c r="N43" i="1"/>
  <c r="S43" i="1" s="1"/>
  <c r="N44" i="1"/>
  <c r="S44" i="1" s="1"/>
  <c r="N45" i="1"/>
  <c r="S45" i="1" s="1"/>
  <c r="N46" i="1"/>
  <c r="S46" i="1" s="1"/>
  <c r="N47" i="1"/>
  <c r="S47" i="1" s="1"/>
  <c r="N49" i="1"/>
  <c r="S49" i="1" s="1"/>
  <c r="N50" i="1"/>
  <c r="S50" i="1" s="1"/>
  <c r="Q39" i="1"/>
  <c r="Q18" i="1"/>
  <c r="Q11" i="1"/>
  <c r="Q9" i="1"/>
  <c r="Q47" i="1" l="1"/>
  <c r="Q7" i="1" l="1"/>
  <c r="Q12" i="1"/>
  <c r="Q13" i="1"/>
  <c r="Q14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40" i="1"/>
  <c r="Q41" i="1"/>
  <c r="Q43" i="1"/>
  <c r="Q45" i="1"/>
  <c r="Q46" i="1"/>
  <c r="Q48" i="1"/>
  <c r="Q50" i="1"/>
  <c r="N51" i="1" l="1"/>
  <c r="N52" i="1" l="1"/>
  <c r="S61" i="1" l="1"/>
</calcChain>
</file>

<file path=xl/sharedStrings.xml><?xml version="1.0" encoding="utf-8"?>
<sst xmlns="http://schemas.openxmlformats.org/spreadsheetml/2006/main" count="533" uniqueCount="348">
  <si>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</si>
  <si>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</si>
  <si>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</si>
  <si>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</si>
  <si>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</si>
  <si>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</si>
  <si>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</si>
  <si>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</si>
  <si>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</si>
  <si>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</si>
  <si>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</si>
  <si>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</si>
  <si>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</si>
  <si>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</si>
  <si>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</si>
  <si>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</si>
  <si>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</si>
  <si>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</si>
  <si>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</si>
  <si>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</si>
  <si>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</si>
  <si>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</si>
  <si>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</si>
  <si>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</si>
  <si>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</si>
  <si>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CAP ALUM 100UF 20% 25V SMD</t>
  </si>
  <si>
    <t>UWX1E101MCL1GB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</si>
  <si>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</si>
  <si>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</si>
  <si>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</si>
  <si>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</si>
  <si>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</si>
  <si>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</si>
  <si>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</si>
  <si>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</si>
  <si>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</si>
  <si>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</si>
  <si>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</si>
  <si>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</si>
  <si>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</si>
  <si>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</si>
  <si>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D4, D5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</si>
  <si>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</si>
  <si>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</si>
  <si>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</si>
  <si>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</si>
  <si>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</si>
  <si>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</si>
  <si>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</si>
  <si>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</si>
  <si>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</si>
  <si>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</si>
  <si>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</si>
  <si>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</si>
  <si>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</si>
  <si>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</si>
  <si>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</si>
  <si>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</si>
  <si>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</si>
  <si>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</si>
  <si>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</si>
  <si>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</si>
  <si>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</si>
  <si>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</si>
  <si>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</si>
  <si>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</si>
  <si>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</si>
  <si>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</si>
  <si>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</si>
  <si>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</si>
  <si>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</si>
  <si>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</si>
  <si>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</si>
  <si>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</si>
  <si>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</si>
  <si>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</si>
  <si>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</si>
  <si>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</si>
  <si>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</si>
  <si>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</si>
  <si>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</si>
  <si>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</si>
  <si>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</si>
  <si>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</si>
  <si>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</si>
  <si>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</si>
  <si>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</si>
  <si>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</si>
  <si>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ESP32-WROOM-32D (8MB)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</si>
  <si>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</si>
  <si>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</si>
  <si>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</si>
  <si>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</si>
  <si>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</si>
  <si>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</si>
  <si>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</si>
  <si>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</si>
  <si>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</si>
  <si>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</si>
  <si>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</si>
  <si>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</si>
  <si>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</si>
  <si>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</si>
  <si>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</si>
  <si>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</si>
  <si>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</si>
  <si>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</si>
  <si>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</si>
  <si>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</si>
  <si>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</si>
  <si>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</si>
  <si>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</si>
  <si>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</si>
  <si>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J2, J12, J17</t>
  </si>
  <si>
    <t>B4B-XH-A(LF)(SN)</t>
  </si>
  <si>
    <t>CONN HEADER VERT 3POS 2.5MM</t>
  </si>
  <si>
    <t>B3B-XH-A(LF)(SN)</t>
  </si>
  <si>
    <t>CONN HEADER VERT 7POS 2.5MM</t>
  </si>
  <si>
    <t>J14, J15</t>
  </si>
  <si>
    <t>B7B-XH-A(LF)(SN)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</si>
  <si>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</si>
  <si>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</si>
  <si>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</si>
  <si>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</si>
  <si>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</si>
  <si>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</si>
  <si>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</si>
  <si>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</si>
  <si>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</si>
  <si>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100uF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</si>
  <si>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</si>
  <si>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</si>
  <si>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</si>
  <si>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</si>
  <si>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</si>
  <si>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</si>
  <si>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</si>
  <si>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</si>
  <si>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</si>
  <si>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</si>
  <si>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</si>
  <si>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</si>
  <si>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</si>
  <si>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</si>
  <si>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</si>
  <si>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</si>
  <si>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</si>
  <si>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</si>
  <si>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</si>
  <si>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</si>
  <si>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</si>
  <si>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</si>
  <si>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</si>
  <si>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</si>
  <si>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</si>
  <si>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</si>
  <si>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</si>
  <si>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</si>
  <si>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</si>
  <si>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</si>
  <si>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</si>
  <si>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</si>
  <si>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</si>
  <si>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</si>
  <si>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</si>
  <si>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RES 0.05 OHM 1% 1/2W 2010</t>
  </si>
  <si>
    <t>WSL2010R0500FEA</t>
  </si>
  <si>
    <t>Out of Stock. Footprint Equivalent Alternative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</si>
  <si>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</si>
  <si>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</si>
  <si>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</si>
  <si>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</si>
  <si>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</si>
  <si>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</si>
  <si>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</si>
  <si>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</si>
  <si>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</si>
  <si>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</si>
  <si>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</si>
  <si>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</si>
  <si>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</si>
  <si>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</si>
  <si>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</si>
  <si>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</si>
  <si>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</si>
  <si>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</si>
  <si>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</si>
  <si>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</si>
  <si>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</si>
  <si>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</si>
  <si>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</si>
  <si>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</si>
  <si>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</si>
  <si>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</si>
  <si>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</si>
  <si>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</si>
  <si>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</si>
  <si>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</si>
  <si>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</si>
  <si>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</si>
  <si>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</si>
  <si>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</si>
  <si>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</si>
  <si>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</si>
  <si>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</si>
  <si>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 xml:space="preserve">CONN HEADER VERT 2POS 2.5MM
</t>
  </si>
  <si>
    <t>J10, J11, J13, J20, J30</t>
  </si>
  <si>
    <t>Capacitors</t>
  </si>
  <si>
    <t>Resistors</t>
  </si>
  <si>
    <t>12DFN</t>
  </si>
  <si>
    <t>Solder Bridge ON</t>
  </si>
  <si>
    <t>SB1</t>
  </si>
  <si>
    <t>Solder Bridge</t>
  </si>
  <si>
    <t xml:space="preserve">LCSC Part No </t>
  </si>
  <si>
    <t>C913912</t>
  </si>
  <si>
    <t>C5673</t>
  </si>
  <si>
    <t>C386081</t>
  </si>
  <si>
    <t>C69335</t>
  </si>
  <si>
    <t>C125982</t>
  </si>
  <si>
    <t>C249933</t>
  </si>
  <si>
    <t>VZH471M1ETR-1010</t>
  </si>
  <si>
    <t>LCSC Link</t>
  </si>
  <si>
    <t>LCSC</t>
  </si>
  <si>
    <t>C150735</t>
  </si>
  <si>
    <t>C434446</t>
  </si>
  <si>
    <t>SZYY0402G</t>
  </si>
  <si>
    <t>C96116</t>
  </si>
  <si>
    <t>C94515</t>
  </si>
  <si>
    <t>C161787</t>
  </si>
  <si>
    <t>C185321</t>
  </si>
  <si>
    <t>ERJPB3B1002V</t>
  </si>
  <si>
    <t>0603WAF5363T5E</t>
  </si>
  <si>
    <t>0603WAF4533T5E</t>
  </si>
  <si>
    <t>C23200</t>
  </si>
  <si>
    <t>C25818</t>
  </si>
  <si>
    <t>0603WAF3013T5E</t>
  </si>
  <si>
    <t>C23026</t>
  </si>
  <si>
    <t>C491196</t>
  </si>
  <si>
    <t>ERJUP3J101V</t>
  </si>
  <si>
    <t>RS-03K5101FT</t>
  </si>
  <si>
    <t>C156350</t>
  </si>
  <si>
    <t>C158012</t>
  </si>
  <si>
    <t>C144395</t>
  </si>
  <si>
    <t>C144394</t>
  </si>
  <si>
    <t>C144398</t>
  </si>
  <si>
    <t>C498674</t>
  </si>
  <si>
    <t>LCCS</t>
  </si>
  <si>
    <t>C100024</t>
  </si>
  <si>
    <t>C154510</t>
  </si>
  <si>
    <t xml:space="preserve">C144601
</t>
  </si>
  <si>
    <t xml:space="preserve">RC0603FR-0720KL
</t>
  </si>
  <si>
    <t xml:space="preserve">C105575
</t>
  </si>
  <si>
    <t xml:space="preserve">C445835
</t>
  </si>
  <si>
    <t>ERJUP3J104V</t>
  </si>
  <si>
    <t>C491207</t>
  </si>
  <si>
    <t xml:space="preserve">RL2010FK-070R05L
</t>
  </si>
  <si>
    <t>C309643</t>
  </si>
  <si>
    <t>C231329</t>
  </si>
  <si>
    <t>C529577</t>
  </si>
  <si>
    <t>C521306</t>
  </si>
  <si>
    <t xml:space="preserve">C43656
</t>
  </si>
  <si>
    <t>SOP-16</t>
  </si>
  <si>
    <t>C141534</t>
  </si>
  <si>
    <t>Quantity (5 boards)</t>
  </si>
  <si>
    <t>Footprint Equivalent Alternative</t>
  </si>
  <si>
    <t>CAP CER 2.2UF 25V X5R 0603</t>
  </si>
  <si>
    <t>CC0603KRX5R8BB225</t>
  </si>
  <si>
    <t>C309478</t>
  </si>
  <si>
    <t>2.2uF</t>
  </si>
  <si>
    <t>C85098</t>
  </si>
  <si>
    <t>B340A-13-F</t>
  </si>
  <si>
    <t>C32513</t>
  </si>
  <si>
    <t>SS54B</t>
  </si>
  <si>
    <t>----------</t>
  </si>
  <si>
    <t>Part Not available on LCSC. Exact part is compulsory.</t>
  </si>
  <si>
    <t>C75556</t>
  </si>
  <si>
    <t>PMBT4403,215</t>
  </si>
  <si>
    <t>Out of Stock (LCSC). Exact part is compulsory</t>
  </si>
  <si>
    <t>C42, C54</t>
  </si>
  <si>
    <t>Out of Stock (LCSC, digikey and Mouser). Exact part is compulsory</t>
  </si>
  <si>
    <t>Out of Stock. There is some difference in Footprint of alternate part.</t>
  </si>
  <si>
    <t>C1, C11, C13, C14, C15, C17, C21, C32, C36, C51, C53, CF1, CF3</t>
  </si>
  <si>
    <t>C3, C4, C16, C39, C41, C50, C52</t>
  </si>
  <si>
    <t>C6, C7, C12, C31, C35, CF2</t>
  </si>
  <si>
    <t>C5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</si>
  <si>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</si>
  <si>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</si>
  <si>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</si>
  <si>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</si>
  <si>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</si>
  <si>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</si>
  <si>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</si>
  <si>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</si>
  <si>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</si>
  <si>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</si>
  <si>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</si>
  <si>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</si>
  <si>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</si>
  <si>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C125091</t>
  </si>
  <si>
    <t>C72035</t>
  </si>
  <si>
    <t>C98224</t>
  </si>
  <si>
    <t>J3, J24, J25, J26, J27, J28, J29</t>
  </si>
  <si>
    <t>P1, P2, P3, P4, P5, P6</t>
  </si>
  <si>
    <t>Q3</t>
  </si>
  <si>
    <t>R1, R9, R10, R15</t>
  </si>
  <si>
    <t>R2</t>
  </si>
  <si>
    <t>R3, R4, R11, R12, R13, R32, RF1</t>
  </si>
  <si>
    <t>R6, R36, R37</t>
  </si>
  <si>
    <t>R7</t>
  </si>
  <si>
    <t>R14</t>
  </si>
  <si>
    <t>R16</t>
  </si>
  <si>
    <t>U7, U8, U19</t>
  </si>
  <si>
    <t>CAP CER 22UF 35V X5R 0805</t>
  </si>
  <si>
    <t>C#1, C#2</t>
  </si>
  <si>
    <t>Cap0805</t>
  </si>
  <si>
    <t>C2012X5R1V226MT000E</t>
  </si>
  <si>
    <t>-------</t>
  </si>
  <si>
    <t>--------</t>
  </si>
  <si>
    <t>22uF</t>
  </si>
  <si>
    <t>L1, L3</t>
  </si>
  <si>
    <t>1K</t>
  </si>
  <si>
    <t>RES SMD 1K OHM 1% 1/10W 0603</t>
  </si>
  <si>
    <t>RC0603FR-071KL</t>
  </si>
  <si>
    <t xml:space="preserve">Samwha </t>
  </si>
  <si>
    <t>C513764</t>
  </si>
  <si>
    <t>Mifare 13.56Mhz RC522 RFID Card Reader Module</t>
  </si>
  <si>
    <t>RFID-RC522</t>
  </si>
  <si>
    <t xml:space="preserve">SG90 Servo Motor, Micro Servo 9G SG90 Kit for RC Robot Arm/Walking Helicopter Airplane Car Boat Control, Micro Servos </t>
  </si>
  <si>
    <t xml:space="preserve">SG90 </t>
  </si>
  <si>
    <t xml:space="preserve">Laod Cell </t>
  </si>
  <si>
    <t xml:space="preserve">RGB LED </t>
  </si>
  <si>
    <t>Exact same land pattern not availble.</t>
  </si>
  <si>
    <t>-----------</t>
  </si>
  <si>
    <t xml:space="preserve">Low Voltage rating </t>
  </si>
  <si>
    <t>C22548</t>
  </si>
  <si>
    <t>WS2812B DIY RGB LED Ring 37 to 241 Pixels WS2812 Round Modules SK6812 5050 Built-in RGB Addressable DC5V LED Circle Arduino Ring</t>
  </si>
  <si>
    <t>Custom Supplier</t>
  </si>
  <si>
    <t>Quote from Kevin</t>
  </si>
  <si>
    <t>Amazon</t>
  </si>
  <si>
    <t>Power On/Off Switch</t>
  </si>
  <si>
    <t>Battery</t>
  </si>
  <si>
    <t>Adpter</t>
  </si>
  <si>
    <t>12V USB-C Adapter</t>
  </si>
  <si>
    <t>LifePO4; 7.2V; 6Ah battery.</t>
  </si>
  <si>
    <t>Ulincos Momentary Push Button Switch U16F1 1NO1NC Black Metal Shell with Blue LED Ring Suitable for 16mm 5/8" Mounting Hole (Blue)</t>
  </si>
  <si>
    <t>LCSC/MOQ(1 Board)</t>
  </si>
  <si>
    <t>LCSC/MOQ(5 Board)</t>
  </si>
  <si>
    <t>Peripherals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</si>
</sst>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9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81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6" fillId="0" borderId="12" xfId="0" quotePrefix="1" applyFont="1" applyBorder="1" applyAlignment="1">
      <alignment horizontal="left" vertical="top"/>
    </xf>
    <xf numFmtId="0" fontId="3" fillId="2" borderId="13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1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5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3" borderId="22" xfId="0" quotePrefix="1" applyFont="1" applyFill="1" applyBorder="1" applyAlignment="1">
      <alignment horizontal="left" vertical="top" wrapText="1"/>
    </xf>
    <xf numFmtId="0" fontId="8" fillId="3" borderId="23" xfId="0" quotePrefix="1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23" xfId="0" quotePrefix="1" applyFont="1" applyFill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165" fontId="8" fillId="3" borderId="23" xfId="0" quotePrefix="1" applyNumberFormat="1" applyFont="1" applyFill="1" applyBorder="1" applyAlignment="1">
      <alignment horizontal="center" vertical="center"/>
    </xf>
    <xf numFmtId="167" fontId="9" fillId="3" borderId="24" xfId="0" applyNumberFormat="1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26" xfId="0" quotePrefix="1" applyFont="1" applyBorder="1" applyAlignment="1">
      <alignment horizontal="center" vertical="center"/>
    </xf>
    <xf numFmtId="0" fontId="6" fillId="0" borderId="23" xfId="0" quotePrefix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4" fillId="0" borderId="26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4" fillId="0" borderId="23" xfId="0" quotePrefix="1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 wrapText="1"/>
    </xf>
    <xf numFmtId="164" fontId="4" fillId="0" borderId="23" xfId="0" applyNumberFormat="1" applyFont="1" applyBorder="1" applyAlignment="1">
      <alignment horizontal="center" vertical="center"/>
    </xf>
    <xf numFmtId="0" fontId="6" fillId="0" borderId="29" xfId="0" quotePrefix="1" applyFont="1" applyBorder="1" applyAlignment="1">
      <alignment horizontal="left" vertical="top"/>
    </xf>
    <xf numFmtId="0" fontId="13" fillId="0" borderId="25" xfId="0" quotePrefix="1" applyFont="1" applyBorder="1" applyAlignment="1">
      <alignment horizontal="center" vertical="center"/>
    </xf>
    <xf numFmtId="0" fontId="6" fillId="0" borderId="25" xfId="0" quotePrefix="1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0" fontId="6" fillId="0" borderId="31" xfId="0" quotePrefix="1" applyFont="1" applyBorder="1" applyAlignment="1">
      <alignment horizontal="left" vertical="top"/>
    </xf>
    <xf numFmtId="0" fontId="13" fillId="0" borderId="32" xfId="0" quotePrefix="1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/>
    </xf>
    <xf numFmtId="165" fontId="4" fillId="0" borderId="32" xfId="0" applyNumberFormat="1" applyFont="1" applyBorder="1" applyAlignment="1">
      <alignment horizontal="center" vertical="center"/>
    </xf>
    <xf numFmtId="0" fontId="6" fillId="0" borderId="33" xfId="0" quotePrefix="1" applyFont="1" applyBorder="1" applyAlignment="1">
      <alignment horizontal="left" vertical="top"/>
    </xf>
    <xf numFmtId="0" fontId="13" fillId="0" borderId="27" xfId="0" quotePrefix="1" applyFont="1" applyBorder="1" applyAlignment="1">
      <alignment horizontal="center" vertical="center"/>
    </xf>
    <xf numFmtId="0" fontId="6" fillId="0" borderId="27" xfId="0" quotePrefix="1" applyFont="1" applyBorder="1" applyAlignment="1">
      <alignment horizontal="center" vertical="center"/>
    </xf>
    <xf numFmtId="0" fontId="2" fillId="4" borderId="27" xfId="1" applyFont="1" applyFill="1" applyBorder="1" applyAlignment="1" applyProtection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0" fontId="2" fillId="5" borderId="2" xfId="1" applyFont="1" applyFill="1" applyBorder="1" applyAlignment="1" applyProtection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5" borderId="31" xfId="0" quotePrefix="1" applyFont="1" applyFill="1" applyBorder="1" applyAlignment="1">
      <alignment horizontal="left" vertical="top"/>
    </xf>
    <xf numFmtId="0" fontId="13" fillId="5" borderId="32" xfId="0" quotePrefix="1" applyFont="1" applyFill="1" applyBorder="1" applyAlignment="1">
      <alignment horizontal="center" vertical="center"/>
    </xf>
    <xf numFmtId="0" fontId="6" fillId="5" borderId="32" xfId="0" quotePrefix="1" applyFont="1" applyFill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 wrapText="1"/>
    </xf>
    <xf numFmtId="0" fontId="1" fillId="0" borderId="6" xfId="1" applyBorder="1" applyAlignment="1" applyProtection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2" xfId="1" applyBorder="1" applyAlignment="1" applyProtection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8" fillId="5" borderId="3" xfId="0" quotePrefix="1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horizontal="center" vertical="center"/>
    </xf>
    <xf numFmtId="0" fontId="8" fillId="5" borderId="6" xfId="0" quotePrefix="1" applyFont="1" applyFill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/>
    </xf>
    <xf numFmtId="0" fontId="0" fillId="0" borderId="0" xfId="0" applyAlignment="1"/>
    <xf numFmtId="0" fontId="1" fillId="0" borderId="26" xfId="1" applyBorder="1" applyAlignment="1" applyProtection="1">
      <alignment horizontal="center" vertical="center"/>
    </xf>
    <xf numFmtId="0" fontId="1" fillId="0" borderId="23" xfId="1" applyBorder="1" applyAlignment="1" applyProtection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0" fillId="0" borderId="3" xfId="0" applyBorder="1"/>
    <xf numFmtId="0" fontId="6" fillId="0" borderId="3" xfId="0" quotePrefix="1" applyFont="1" applyBorder="1" applyAlignment="1">
      <alignment horizontal="left" vertical="top" wrapText="1"/>
    </xf>
    <xf numFmtId="0" fontId="6" fillId="0" borderId="3" xfId="0" applyFont="1" applyFill="1" applyBorder="1" applyAlignment="1">
      <alignment horizontal="center" vertical="center"/>
    </xf>
    <xf numFmtId="0" fontId="6" fillId="5" borderId="12" xfId="0" quotePrefix="1" applyFont="1" applyFill="1" applyBorder="1" applyAlignment="1">
      <alignment horizontal="left" vertical="top"/>
    </xf>
    <xf numFmtId="0" fontId="13" fillId="5" borderId="6" xfId="0" quotePrefix="1" applyFont="1" applyFill="1" applyBorder="1" applyAlignment="1">
      <alignment horizontal="center" vertical="center"/>
    </xf>
    <xf numFmtId="0" fontId="6" fillId="5" borderId="6" xfId="0" quotePrefix="1" applyFont="1" applyFill="1" applyBorder="1" applyAlignment="1">
      <alignment horizontal="center" vertical="center"/>
    </xf>
    <xf numFmtId="0" fontId="2" fillId="0" borderId="23" xfId="1" applyFont="1" applyBorder="1" applyAlignment="1" applyProtection="1">
      <alignment horizontal="center" vertical="center" wrapText="1"/>
    </xf>
    <xf numFmtId="165" fontId="4" fillId="0" borderId="23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2" fillId="0" borderId="25" xfId="1" applyFont="1" applyBorder="1" applyAlignment="1" applyProtection="1">
      <alignment horizontal="center" vertical="center" wrapText="1"/>
    </xf>
    <xf numFmtId="0" fontId="4" fillId="0" borderId="35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8" fillId="5" borderId="32" xfId="0" quotePrefix="1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2" xfId="0" quotePrefix="1" applyFont="1" applyBorder="1" applyAlignment="1">
      <alignment horizontal="left" vertical="top"/>
    </xf>
    <xf numFmtId="0" fontId="0" fillId="0" borderId="2" xfId="0" applyBorder="1" applyAlignment="1"/>
    <xf numFmtId="0" fontId="0" fillId="0" borderId="2" xfId="0" applyBorder="1"/>
    <xf numFmtId="0" fontId="6" fillId="0" borderId="26" xfId="0" applyFont="1" applyFill="1" applyBorder="1" applyAlignment="1">
      <alignment horizontal="center" vertical="center"/>
    </xf>
    <xf numFmtId="0" fontId="4" fillId="0" borderId="26" xfId="0" applyFont="1" applyFill="1" applyBorder="1" applyAlignment="1">
      <alignment horizontal="center" vertical="center"/>
    </xf>
    <xf numFmtId="0" fontId="0" fillId="0" borderId="10" xfId="0" applyBorder="1"/>
    <xf numFmtId="0" fontId="0" fillId="0" borderId="7" xfId="0" applyBorder="1"/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6" fillId="0" borderId="23" xfId="0" applyFont="1" applyFill="1" applyBorder="1" applyAlignment="1">
      <alignment horizontal="center" vertical="center"/>
    </xf>
    <xf numFmtId="0" fontId="4" fillId="0" borderId="23" xfId="0" applyFont="1" applyFill="1" applyBorder="1" applyAlignment="1">
      <alignment horizontal="center" vertical="center"/>
    </xf>
    <xf numFmtId="0" fontId="0" fillId="0" borderId="8" xfId="0" applyBorder="1"/>
    <xf numFmtId="0" fontId="4" fillId="0" borderId="3" xfId="0" applyFont="1" applyFill="1" applyBorder="1" applyAlignment="1">
      <alignment horizontal="center" vertical="center"/>
    </xf>
    <xf numFmtId="0" fontId="0" fillId="0" borderId="6" xfId="0" applyBorder="1" applyAlignment="1">
      <alignment wrapText="1"/>
    </xf>
    <xf numFmtId="0" fontId="18" fillId="0" borderId="0" xfId="0" applyFont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wrapText="1"/>
    </xf>
    <xf numFmtId="0" fontId="7" fillId="5" borderId="0" xfId="0" applyFont="1" applyFill="1" applyBorder="1" applyAlignment="1">
      <alignment horizontal="center" wrapText="1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4" fillId="0" borderId="27" xfId="0" quotePrefix="1" applyFont="1" applyBorder="1" applyAlignment="1">
      <alignment horizontal="center" vertical="center" wrapText="1"/>
    </xf>
    <xf numFmtId="0" fontId="0" fillId="0" borderId="26" xfId="0" applyBorder="1"/>
    <xf numFmtId="0" fontId="0" fillId="0" borderId="23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stackpole-electronics" TargetMode="External"/><Relationship Id="rId21" Type="http://schemas.openxmlformats.org/officeDocument/2006/relationships/hyperlink" Target="https://www.digikey.com/en/supplier-centers/panasonic" TargetMode="External"/><Relationship Id="rId42" Type="http://schemas.openxmlformats.org/officeDocument/2006/relationships/hyperlink" Target="https://lcsc.com/product-detail/Inductors-SMD_TDK-SLF10145T-100M2R5-PF_C96116.html" TargetMode="External"/><Relationship Id="rId47" Type="http://schemas.openxmlformats.org/officeDocument/2006/relationships/hyperlink" Target="https://lcsc.com/product-detail/New-Arrivals_PANASONIC-ERJUP3J101V_C491196.html" TargetMode="External"/><Relationship Id="rId63" Type="http://schemas.openxmlformats.org/officeDocument/2006/relationships/hyperlink" Target="https://lcsc.com/product-detail/Others_YAGEO-RL2010FK-070R05L_C309643.html" TargetMode="External"/><Relationship Id="rId68" Type="http://schemas.openxmlformats.org/officeDocument/2006/relationships/hyperlink" Target="https://lcsc.com/product-detail/PMIC-Power-Distribution-Switches_Vishay-Intertech-SI3865DDV-T1-GE3_C141534.html" TargetMode="External"/><Relationship Id="rId16" Type="http://schemas.openxmlformats.org/officeDocument/2006/relationships/hyperlink" Target="https://www.digikey.com/en/supplier-centers/wurth-electronics" TargetMode="External"/><Relationship Id="rId11" Type="http://schemas.openxmlformats.org/officeDocument/2006/relationships/hyperlink" Target="https://lcsc.com/brand-detail/853.html" TargetMode="External"/><Relationship Id="rId32" Type="http://schemas.openxmlformats.org/officeDocument/2006/relationships/hyperlink" Target="https://www.digikey.com/en/supplier-centers/te-connectivity-amp" TargetMode="External"/><Relationship Id="rId37" Type="http://schemas.openxmlformats.org/officeDocument/2006/relationships/hyperlink" Target="https://lcsc.com/product-detail/Multilayer-Ceramic-Capacitors-MLCC-SMD-SMT_Samsung-Electro-Mechanics-CL10B104KB8NNNL_C913912.html" TargetMode="External"/><Relationship Id="rId53" Type="http://schemas.openxmlformats.org/officeDocument/2006/relationships/hyperlink" Target="https://lcsc.com/product-detail/Wire-To-Board-Wire-To-Wire-Connector_JST-Sales-America-B4B-XH-A-LF-SN_C144395.html" TargetMode="External"/><Relationship Id="rId58" Type="http://schemas.openxmlformats.org/officeDocument/2006/relationships/hyperlink" Target="https://lcsc.com/product-detail/MOSFET_ON-Semiconductor-ON-FDN306P_C154510.html" TargetMode="External"/><Relationship Id="rId74" Type="http://schemas.openxmlformats.org/officeDocument/2006/relationships/hyperlink" Target="https://www.lcsc.com/product-detail/Light-Emitting-Diodes-LED_Lite-On-LTST-C171KGKT_C98224.html" TargetMode="External"/><Relationship Id="rId79" Type="http://schemas.openxmlformats.org/officeDocument/2006/relationships/hyperlink" Target="https://www.amazon.com/gp/product/B01CDTED80/ref=ppx_yo_dt_b_search_asin_title?ie=UTF8&amp;psc=1" TargetMode="External"/><Relationship Id="rId5" Type="http://schemas.openxmlformats.org/officeDocument/2006/relationships/hyperlink" Target="https://lcsc.com/brand-detail/994.html" TargetMode="External"/><Relationship Id="rId61" Type="http://schemas.openxmlformats.org/officeDocument/2006/relationships/hyperlink" Target="https://lcsc.com/product-detail/Chip-Resistor-Surface-Mount_PANASONIC-ERJPA3J822V_C445835.html" TargetMode="External"/><Relationship Id="rId82" Type="http://schemas.openxmlformats.org/officeDocument/2006/relationships/hyperlink" Target="https://www.amazon.com/PWR-Plus-Charger-QuickCharge-Adapter/dp/B078X1MN4Q" TargetMode="External"/><Relationship Id="rId19" Type="http://schemas.openxmlformats.org/officeDocument/2006/relationships/hyperlink" Target="https://www.digikey.com/en/supplier-centers/te-connectivity-amp" TargetMode="External"/><Relationship Id="rId14" Type="http://schemas.openxmlformats.org/officeDocument/2006/relationships/hyperlink" Target="https://www.digikey.com/en/supplier-centers/central-semiconductor" TargetMode="External"/><Relationship Id="rId22" Type="http://schemas.openxmlformats.org/officeDocument/2006/relationships/hyperlink" Target="https://www.digikey.com/en/supplier-centers/vishay-dale" TargetMode="External"/><Relationship Id="rId27" Type="http://schemas.openxmlformats.org/officeDocument/2006/relationships/hyperlink" Target="https://www.digikey.com/en/supplier-centers/texas-instruments" TargetMode="External"/><Relationship Id="rId30" Type="http://schemas.openxmlformats.org/officeDocument/2006/relationships/hyperlink" Target="https://www.digikey.com/en/supplier-centers/analog-devices" TargetMode="External"/><Relationship Id="rId35" Type="http://schemas.openxmlformats.org/officeDocument/2006/relationships/hyperlink" Target="https://lcsc.com/product-detail/Aluminum-Electrolytic-Capacitors-SMD_Nichicon-UWX1E101MCL1GB_C125982.html" TargetMode="External"/><Relationship Id="rId43" Type="http://schemas.openxmlformats.org/officeDocument/2006/relationships/hyperlink" Target="https://lcsc.com/product-detail/Transistors-NPN-PNP_Diodes-Incorporated-MMBT2222A-7-F_C94515.html" TargetMode="External"/><Relationship Id="rId48" Type="http://schemas.openxmlformats.org/officeDocument/2006/relationships/hyperlink" Target="https://lcsc.com/product-detail/Chip-Resistor-Surface-Mount_UNI-ROYAL-Uniroyal-Elec-0603WAF3013T5E_C23026.html" TargetMode="External"/><Relationship Id="rId56" Type="http://schemas.openxmlformats.org/officeDocument/2006/relationships/hyperlink" Target="https://lcsc.com/product-detail/Wire-To-Board-Wire-To-Wire-Connector_JST-Sales-America-B7B-XH-A-LF-SN_C144398.html" TargetMode="External"/><Relationship Id="rId64" Type="http://schemas.openxmlformats.org/officeDocument/2006/relationships/hyperlink" Target="https://lcsc.com/product-detail/Tactile-Switches_Omron-Electronics-B3U-1000P_C231329.html" TargetMode="External"/><Relationship Id="rId69" Type="http://schemas.openxmlformats.org/officeDocument/2006/relationships/hyperlink" Target="https://lcsc.com/product-detail/Multilayer-Ceramic-Capacitors-MLCC-SMD-SMT_YAGEO-CC0603KRX5R8BB225_C309478.html" TargetMode="External"/><Relationship Id="rId77" Type="http://schemas.openxmlformats.org/officeDocument/2006/relationships/hyperlink" Target="https://www.lcsc.com/product-detail/Chip-Resistor-Surface-Mount_YAGEO-RC0603FR-071KL_C22548.html" TargetMode="External"/><Relationship Id="rId8" Type="http://schemas.openxmlformats.org/officeDocument/2006/relationships/hyperlink" Target="https://lcsc.com/brand-detail/396.html" TargetMode="External"/><Relationship Id="rId51" Type="http://schemas.openxmlformats.org/officeDocument/2006/relationships/hyperlink" Target="https://lcsc.com/product-detail/Chip-Resistor-Surface-Mount_FH-Guangdong-Fenghua-Advanced-Tech-RS-03K5101FT_C156350.html" TargetMode="External"/><Relationship Id="rId72" Type="http://schemas.openxmlformats.org/officeDocument/2006/relationships/hyperlink" Target="https://www.lcsc.com/product-detail/Light-Emitting-Diodes-LED_SMD-yellow_C125091.html" TargetMode="External"/><Relationship Id="rId80" Type="http://schemas.openxmlformats.org/officeDocument/2006/relationships/hyperlink" Target="https://www.amazon.com/ZOSKAY-DS3218-Digital-Waterproof-Control/dp/B01MU7TQV8/ref=sr_1_6?dchild=1&amp;keywords=DS3218MG&amp;qid=1593475141&amp;sr=8-6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109.html" TargetMode="External"/><Relationship Id="rId17" Type="http://schemas.openxmlformats.org/officeDocument/2006/relationships/hyperlink" Target="https://lcsc.com/brand-detail/296.html" TargetMode="External"/><Relationship Id="rId25" Type="http://schemas.openxmlformats.org/officeDocument/2006/relationships/hyperlink" Target="https://www.digikey.com/en/supplier-centers/yageo" TargetMode="External"/><Relationship Id="rId33" Type="http://schemas.openxmlformats.org/officeDocument/2006/relationships/hyperlink" Target="https://lcsc.com/brand-detail/877.html" TargetMode="External"/><Relationship Id="rId38" Type="http://schemas.openxmlformats.org/officeDocument/2006/relationships/hyperlink" Target="https://lcsc.com/product-detail/Multilayer-Ceramic-Capacitors-MLCC-SMD-SMT_Samsung-Electro-Mechanics-CL10A105KA8NNNC_C5673.html" TargetMode="External"/><Relationship Id="rId46" Type="http://schemas.openxmlformats.org/officeDocument/2006/relationships/hyperlink" Target="https://lcsc.com/product-detail/Chip-Resistor-Surface-Mount_PANASONIC-ERJPB3B1002V_C161787.html" TargetMode="External"/><Relationship Id="rId59" Type="http://schemas.openxmlformats.org/officeDocument/2006/relationships/hyperlink" Target="https://lcsc.com/product-detail/Chip-Resistor-Surface-Mount_YAGEO-AC0603JR-07470KL_C144601.html" TargetMode="External"/><Relationship Id="rId67" Type="http://schemas.openxmlformats.org/officeDocument/2006/relationships/hyperlink" Target="https://lcsc.com/product-detail/Analog-To-Digital-Converters-ADCs_Avia-Semicon-Xiamen-HX711_C43656.html" TargetMode="External"/><Relationship Id="rId20" Type="http://schemas.openxmlformats.org/officeDocument/2006/relationships/hyperlink" Target="https://www.digikey.com/en/supplier-centers/rohm-semi" TargetMode="External"/><Relationship Id="rId41" Type="http://schemas.openxmlformats.org/officeDocument/2006/relationships/hyperlink" Target="https://lcsc.com/product-detail/Uncategorized_Yongyu-Photoelectric-SZYY0402G_C434446.html" TargetMode="External"/><Relationship Id="rId54" Type="http://schemas.openxmlformats.org/officeDocument/2006/relationships/hyperlink" Target="https://lcsc.com/product-detail/Wire-To-Board-Wire-To-Wire-Connector_JST-Sales-America-B3B-XH-A-LF-SN_C144394.html" TargetMode="External"/><Relationship Id="rId62" Type="http://schemas.openxmlformats.org/officeDocument/2006/relationships/hyperlink" Target="https://lcsc.com/product-detail/New-Arrivals_PANASONIC-ERJUP3J104V_C491207.html" TargetMode="External"/><Relationship Id="rId70" Type="http://schemas.openxmlformats.org/officeDocument/2006/relationships/hyperlink" Target="https://lcsc.com/product-detail/Schottky-Barrier-Diodes-SBD_DIODES_B340A-13-F_B340A-13-F_C85098.html" TargetMode="External"/><Relationship Id="rId75" Type="http://schemas.openxmlformats.org/officeDocument/2006/relationships/hyperlink" Target="https://www.lcsc.com/product-detail/Multilayer-Ceramic-Capacitors-MLCC-SMD-SMT_Samwha-Capacitor-CS2012X5R226M250NRE_C513764.html" TargetMode="External"/><Relationship Id="rId83" Type="http://schemas.openxmlformats.org/officeDocument/2006/relationships/printerSettings" Target="../printerSettings/printerSettings1.bin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296.html" TargetMode="External"/><Relationship Id="rId15" Type="http://schemas.openxmlformats.org/officeDocument/2006/relationships/hyperlink" Target="https://www.digikey.com/en/supplier-centers/sunled" TargetMode="External"/><Relationship Id="rId23" Type="http://schemas.openxmlformats.org/officeDocument/2006/relationships/hyperlink" Target="https://www.digikey.com/en/supplier-centers/vishay-dale" TargetMode="External"/><Relationship Id="rId28" Type="http://schemas.openxmlformats.org/officeDocument/2006/relationships/hyperlink" Target="https://www.digikey.com/en/supplier-centers/stmicroelectronics" TargetMode="External"/><Relationship Id="rId36" Type="http://schemas.openxmlformats.org/officeDocument/2006/relationships/hyperlink" Target="https://lcsc.com/product-detail/Multilayer-Ceramic-Capacitors-MLCC-SMD-SMT_Samsung-Electro-Mechanics-CL10A475KA8NQNC_C69335.html" TargetMode="External"/><Relationship Id="rId49" Type="http://schemas.openxmlformats.org/officeDocument/2006/relationships/hyperlink" Target="https://lcsc.com/product-detail/Chip-Resistor-Surface-Mount_UNI-ROYAL-Uniroyal-Elec-0603WAF5363T5E_C23200.html" TargetMode="External"/><Relationship Id="rId57" Type="http://schemas.openxmlformats.org/officeDocument/2006/relationships/hyperlink" Target="https://lcsc.com/product-detail/Logic-Buffers-Drivers-Receivers-Transceivers_Texas-Instruments_SN74LV1T34DBVR_Texas-Instruments-Texas-Instruments-SN74LV1T34DBVR_C100024.html" TargetMode="External"/><Relationship Id="rId10" Type="http://schemas.openxmlformats.org/officeDocument/2006/relationships/hyperlink" Target="https://lcsc.com/brand-detail/100.html" TargetMode="External"/><Relationship Id="rId31" Type="http://schemas.openxmlformats.org/officeDocument/2006/relationships/hyperlink" Target="https://lcsc.com/brand-detail/396.html" TargetMode="External"/><Relationship Id="rId44" Type="http://schemas.openxmlformats.org/officeDocument/2006/relationships/hyperlink" Target="https://lcsc.com/product-detail/Transistors-NPN-PNP_Nexperia-PMBT4403-215_C75556.html" TargetMode="External"/><Relationship Id="rId52" Type="http://schemas.openxmlformats.org/officeDocument/2006/relationships/hyperlink" Target="https://lcsc.com/product-detail/Wire-To-Board-Wire-To-Wire-Connector_JST-Sales-America-B2B-XH-A-LF-SN_C158012.html" TargetMode="External"/><Relationship Id="rId60" Type="http://schemas.openxmlformats.org/officeDocument/2006/relationships/hyperlink" Target="https://lcsc.com/product-detail/Chip-Resistor-Surface-Mount_20KR-2002-1_C105575.html" TargetMode="External"/><Relationship Id="rId65" Type="http://schemas.openxmlformats.org/officeDocument/2006/relationships/hyperlink" Target="https://lcsc.com/product-detail/WIFI-Modules_Espressif-Systems-ESP32-WROOM-32D-8MB_C529577.html" TargetMode="External"/><Relationship Id="rId73" Type="http://schemas.openxmlformats.org/officeDocument/2006/relationships/hyperlink" Target="https://www.lcsc.com/product-detail/Light-Emitting-Diodes-LED_Everlight-Elec-17-21-BHC-XL2M2TY-3T_C72035.html" TargetMode="External"/><Relationship Id="rId78" Type="http://schemas.openxmlformats.org/officeDocument/2006/relationships/hyperlink" Target="https://www.amazon.com/Qunqi-Sensor-Module-Arduino-Raspberry/dp/B07QBPGYBF/" TargetMode="External"/><Relationship Id="rId81" Type="http://schemas.openxmlformats.org/officeDocument/2006/relationships/hyperlink" Target="https://www.amazon.com/gp/product/B01I9KDTZK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756.html" TargetMode="External"/><Relationship Id="rId13" Type="http://schemas.openxmlformats.org/officeDocument/2006/relationships/hyperlink" Target="https://lcsc.com/brand-detail/994.html" TargetMode="External"/><Relationship Id="rId18" Type="http://schemas.openxmlformats.org/officeDocument/2006/relationships/hyperlink" Target="https://www.digikey.com/en/supplier-centers/tdk" TargetMode="External"/><Relationship Id="rId39" Type="http://schemas.openxmlformats.org/officeDocument/2006/relationships/hyperlink" Target="https://lcsc.com/product-detail/Aluminum-Electrolytic-Capacitors-SMD_Lelon-VZH471M1ETR-1010_C249933.html" TargetMode="External"/><Relationship Id="rId34" Type="http://schemas.openxmlformats.org/officeDocument/2006/relationships/hyperlink" Target="https://lcsc.com/product-detail/Multilayer-Ceramic-Capacitors-MLCC-SMD-SMT_Taiyo-Yuden-TMK107BBJ106MA-T_C386081.html" TargetMode="External"/><Relationship Id="rId50" Type="http://schemas.openxmlformats.org/officeDocument/2006/relationships/hyperlink" Target="https://lcsc.com/product-detail/Chip-Resistor-Surface-Mount_UNI-ROYAL-Uniroyal-Elec-0603WAF4533T5E_C25818.html" TargetMode="External"/><Relationship Id="rId55" Type="http://schemas.openxmlformats.org/officeDocument/2006/relationships/hyperlink" Target="https://lcsc.com/product-detail/USB-Connectors_TE-Connectivity-2305018-2_C498674.html" TargetMode="External"/><Relationship Id="rId76" Type="http://schemas.openxmlformats.org/officeDocument/2006/relationships/hyperlink" Target="https://lcsc.com/brand-detail/396.html" TargetMode="External"/><Relationship Id="rId7" Type="http://schemas.openxmlformats.org/officeDocument/2006/relationships/hyperlink" Target="https://lcsc.com/brand-detail/94.html" TargetMode="External"/><Relationship Id="rId71" Type="http://schemas.openxmlformats.org/officeDocument/2006/relationships/hyperlink" Target="https://lcsc.com/product-detail/Schottky-Barrier-Diodes-SBD_MDD-Microdiode-Electronics-SS54B_C32513.html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lcsc.com/brand-detail/853.html" TargetMode="External"/><Relationship Id="rId24" Type="http://schemas.openxmlformats.org/officeDocument/2006/relationships/hyperlink" Target="https://www.digikey.com/en/supplier-centers/vishay-dale" TargetMode="External"/><Relationship Id="rId40" Type="http://schemas.openxmlformats.org/officeDocument/2006/relationships/hyperlink" Target="https://lcsc.com/product-detail/Diodes-General-Purpose_DIODES_S1A-13-F_S1A-13-F_C150735.html" TargetMode="External"/><Relationship Id="rId45" Type="http://schemas.openxmlformats.org/officeDocument/2006/relationships/hyperlink" Target="https://lcsc.com/product-detail/Chip-Resistor-Surface-Mount_YAGEO-RC0603FR-0754K9L_C185321.html" TargetMode="External"/><Relationship Id="rId66" Type="http://schemas.openxmlformats.org/officeDocument/2006/relationships/hyperlink" Target="https://lcsc.com/product-detail/Power-Management-Specialized-PMIC_Analog-Devices_LTC4412IS6-TRPBF_Analog-Devices-ADI-LINEAR-LTC4412IS6-TRPBF_C52130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1"/>
  <sheetViews>
    <sheetView tabSelected="1" zoomScale="85" zoomScaleNormal="85" workbookViewId="0">
      <selection activeCell="A29" sqref="A29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80.140625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16" bestFit="1" customWidth="1"/>
    <col min="9" max="9" width="17.5703125" bestFit="1" customWidth="1"/>
    <col min="10" max="10" width="6.140625" bestFit="1" customWidth="1"/>
    <col min="11" max="11" width="19" bestFit="1" customWidth="1"/>
    <col min="12" max="12" width="19" customWidth="1"/>
    <col min="13" max="13" width="19.42578125" bestFit="1" customWidth="1"/>
    <col min="14" max="14" width="18.28515625" bestFit="1" customWidth="1"/>
    <col min="15" max="15" width="14.85546875" bestFit="1" customWidth="1"/>
    <col min="16" max="16" width="11.42578125" bestFit="1" customWidth="1"/>
    <col min="17" max="17" width="12.140625" bestFit="1" customWidth="1"/>
    <col min="18" max="18" width="18.5703125" bestFit="1" customWidth="1"/>
    <col min="19" max="19" width="14" bestFit="1" customWidth="1"/>
    <col min="20" max="20" width="52.85546875" bestFit="1" customWidth="1"/>
  </cols>
  <sheetData>
    <row r="1" spans="1:20" ht="16.5" thickBot="1" x14ac:dyDescent="0.3">
      <c r="A1" s="161" t="s">
        <v>157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3"/>
    </row>
    <row r="2" spans="1:20" ht="15.75" thickBot="1" x14ac:dyDescent="0.3">
      <c r="A2" s="53" t="s">
        <v>0</v>
      </c>
      <c r="B2" s="54" t="s">
        <v>1</v>
      </c>
      <c r="C2" s="54" t="s">
        <v>2</v>
      </c>
      <c r="D2" s="54" t="s">
        <v>3</v>
      </c>
      <c r="E2" s="54" t="s">
        <v>4</v>
      </c>
      <c r="F2" s="54" t="s">
        <v>5</v>
      </c>
      <c r="G2" s="54" t="s">
        <v>6</v>
      </c>
      <c r="H2" s="54" t="s">
        <v>213</v>
      </c>
      <c r="I2" s="54" t="s">
        <v>7</v>
      </c>
      <c r="J2" s="54" t="s">
        <v>8</v>
      </c>
      <c r="K2" s="54" t="s">
        <v>345</v>
      </c>
      <c r="L2" s="54" t="s">
        <v>346</v>
      </c>
      <c r="M2" s="54" t="s">
        <v>9</v>
      </c>
      <c r="N2" s="54" t="s">
        <v>263</v>
      </c>
      <c r="O2" s="54" t="s">
        <v>221</v>
      </c>
      <c r="P2" s="54" t="s">
        <v>10</v>
      </c>
      <c r="Q2" s="54" t="s">
        <v>11</v>
      </c>
      <c r="R2" s="54" t="s">
        <v>12</v>
      </c>
      <c r="S2" s="54" t="s">
        <v>144</v>
      </c>
      <c r="T2" s="54" t="s">
        <v>145</v>
      </c>
    </row>
    <row r="3" spans="1:20" ht="26.25" thickBot="1" x14ac:dyDescent="0.3">
      <c r="A3" s="27">
        <v>1</v>
      </c>
      <c r="B3" s="171" t="s">
        <v>207</v>
      </c>
      <c r="C3" s="72" t="s">
        <v>13</v>
      </c>
      <c r="D3" s="84" t="s">
        <v>281</v>
      </c>
      <c r="E3" s="14" t="s">
        <v>14</v>
      </c>
      <c r="F3" s="14" t="s">
        <v>15</v>
      </c>
      <c r="G3" s="15" t="s">
        <v>16</v>
      </c>
      <c r="H3" s="74" t="s">
        <v>214</v>
      </c>
      <c r="I3" s="45" t="s">
        <v>161</v>
      </c>
      <c r="J3" s="14" t="s">
        <v>125</v>
      </c>
      <c r="K3" s="16">
        <v>50</v>
      </c>
      <c r="L3" s="16">
        <v>100</v>
      </c>
      <c r="M3" s="17">
        <v>13</v>
      </c>
      <c r="N3" s="16">
        <v>100</v>
      </c>
      <c r="O3" s="15" t="s">
        <v>222</v>
      </c>
      <c r="P3" s="18">
        <v>6.8999999999999999E-3</v>
      </c>
      <c r="Q3" s="79">
        <f>P3*K3</f>
        <v>0.34499999999999997</v>
      </c>
      <c r="R3" s="18">
        <v>6.8999999999999999E-3</v>
      </c>
      <c r="S3" s="79">
        <f>R3*N3</f>
        <v>0.69</v>
      </c>
      <c r="T3" s="20"/>
    </row>
    <row r="4" spans="1:20" ht="15.75" thickBot="1" x14ac:dyDescent="0.3">
      <c r="A4" s="27">
        <v>2</v>
      </c>
      <c r="B4" s="172"/>
      <c r="C4" s="25" t="s">
        <v>17</v>
      </c>
      <c r="D4" s="50" t="s">
        <v>282</v>
      </c>
      <c r="E4" s="4" t="s">
        <v>14</v>
      </c>
      <c r="F4" s="4" t="s">
        <v>18</v>
      </c>
      <c r="G4" s="1" t="s">
        <v>16</v>
      </c>
      <c r="H4" s="4" t="s">
        <v>215</v>
      </c>
      <c r="I4" s="46" t="s">
        <v>161</v>
      </c>
      <c r="J4" s="4" t="s">
        <v>126</v>
      </c>
      <c r="K4" s="5">
        <v>50</v>
      </c>
      <c r="L4" s="5"/>
      <c r="M4" s="6">
        <v>7</v>
      </c>
      <c r="N4" s="5">
        <v>50</v>
      </c>
      <c r="O4" s="1" t="s">
        <v>222</v>
      </c>
      <c r="P4" s="12">
        <v>6.4999999999999997E-3</v>
      </c>
      <c r="Q4" s="11">
        <f>P4*K4</f>
        <v>0.32500000000000001</v>
      </c>
      <c r="R4" s="12">
        <v>6.4999999999999997E-3</v>
      </c>
      <c r="S4" s="11">
        <f t="shared" ref="S4:S50" si="0">R4*N4</f>
        <v>0.32500000000000001</v>
      </c>
      <c r="T4" s="7"/>
    </row>
    <row r="5" spans="1:20" ht="15.75" thickBot="1" x14ac:dyDescent="0.3">
      <c r="A5" s="27">
        <v>3</v>
      </c>
      <c r="B5" s="172"/>
      <c r="C5" s="25" t="s">
        <v>19</v>
      </c>
      <c r="D5" s="50" t="s">
        <v>283</v>
      </c>
      <c r="E5" s="4" t="s">
        <v>14</v>
      </c>
      <c r="F5" s="4" t="s">
        <v>20</v>
      </c>
      <c r="G5" s="2" t="s">
        <v>21</v>
      </c>
      <c r="H5" s="4" t="s">
        <v>216</v>
      </c>
      <c r="I5" s="46" t="s">
        <v>161</v>
      </c>
      <c r="J5" s="4" t="s">
        <v>127</v>
      </c>
      <c r="K5" s="5">
        <v>10</v>
      </c>
      <c r="L5" s="5"/>
      <c r="M5" s="6">
        <v>6</v>
      </c>
      <c r="N5" s="5">
        <v>50</v>
      </c>
      <c r="O5" s="1" t="s">
        <v>222</v>
      </c>
      <c r="P5" s="12">
        <v>5.4699999999999999E-2</v>
      </c>
      <c r="Q5" s="11">
        <f>P5*K5</f>
        <v>0.54699999999999993</v>
      </c>
      <c r="R5" s="12">
        <v>5.1200000000000002E-2</v>
      </c>
      <c r="S5" s="11">
        <f t="shared" si="0"/>
        <v>2.56</v>
      </c>
      <c r="T5" s="7"/>
    </row>
    <row r="6" spans="1:20" ht="15.75" thickBot="1" x14ac:dyDescent="0.3">
      <c r="A6" s="27">
        <v>4</v>
      </c>
      <c r="B6" s="172"/>
      <c r="C6" s="25" t="s">
        <v>22</v>
      </c>
      <c r="D6" s="50" t="s">
        <v>23</v>
      </c>
      <c r="E6" s="4" t="s">
        <v>14</v>
      </c>
      <c r="F6" s="4" t="s">
        <v>24</v>
      </c>
      <c r="G6" s="2" t="s">
        <v>16</v>
      </c>
      <c r="H6" s="4" t="s">
        <v>217</v>
      </c>
      <c r="I6" s="46" t="s">
        <v>161</v>
      </c>
      <c r="J6" s="4" t="s">
        <v>128</v>
      </c>
      <c r="K6" s="5">
        <v>20</v>
      </c>
      <c r="L6" s="5"/>
      <c r="M6" s="6">
        <v>2</v>
      </c>
      <c r="N6" s="5">
        <f t="shared" ref="N6:N45" si="1">M6*5</f>
        <v>10</v>
      </c>
      <c r="O6" s="1" t="s">
        <v>222</v>
      </c>
      <c r="P6" s="12">
        <v>2.5000000000000001E-2</v>
      </c>
      <c r="Q6" s="11">
        <f>P6*K6</f>
        <v>0.5</v>
      </c>
      <c r="R6" s="12">
        <v>2.5000000000000001E-2</v>
      </c>
      <c r="S6" s="11">
        <f t="shared" si="0"/>
        <v>0.25</v>
      </c>
      <c r="T6" s="7"/>
    </row>
    <row r="7" spans="1:20" ht="15.75" thickBot="1" x14ac:dyDescent="0.3">
      <c r="A7" s="27">
        <v>5</v>
      </c>
      <c r="B7" s="172"/>
      <c r="C7" s="25" t="s">
        <v>25</v>
      </c>
      <c r="D7" s="50" t="s">
        <v>278</v>
      </c>
      <c r="E7" s="4" t="s">
        <v>162</v>
      </c>
      <c r="F7" s="4" t="s">
        <v>26</v>
      </c>
      <c r="G7" s="2" t="s">
        <v>27</v>
      </c>
      <c r="H7" s="4" t="s">
        <v>218</v>
      </c>
      <c r="I7" s="46" t="s">
        <v>161</v>
      </c>
      <c r="J7" s="4" t="s">
        <v>129</v>
      </c>
      <c r="K7" s="5">
        <v>5</v>
      </c>
      <c r="L7" s="5"/>
      <c r="M7" s="6">
        <v>2</v>
      </c>
      <c r="N7" s="5">
        <v>10</v>
      </c>
      <c r="O7" s="1" t="s">
        <v>222</v>
      </c>
      <c r="P7" s="12">
        <v>0.15359999999999999</v>
      </c>
      <c r="Q7" s="11">
        <f t="shared" ref="Q7:Q50" si="2">P7*K7</f>
        <v>0.7679999999999999</v>
      </c>
      <c r="R7" s="12">
        <v>0.15359999999999999</v>
      </c>
      <c r="S7" s="11">
        <f t="shared" si="0"/>
        <v>1.5359999999999998</v>
      </c>
      <c r="T7" s="7"/>
    </row>
    <row r="8" spans="1:20" s="124" customFormat="1" ht="15.75" thickBot="1" x14ac:dyDescent="0.3">
      <c r="A8" s="27">
        <v>6</v>
      </c>
      <c r="B8" s="172"/>
      <c r="C8" s="33" t="s">
        <v>28</v>
      </c>
      <c r="D8" s="51" t="s">
        <v>29</v>
      </c>
      <c r="E8" s="34" t="s">
        <v>162</v>
      </c>
      <c r="F8" s="120" t="s">
        <v>30</v>
      </c>
      <c r="G8" s="1" t="s">
        <v>27</v>
      </c>
      <c r="H8" s="4" t="s">
        <v>219</v>
      </c>
      <c r="I8" s="5" t="s">
        <v>220</v>
      </c>
      <c r="J8" s="4" t="s">
        <v>130</v>
      </c>
      <c r="K8" s="5">
        <v>1</v>
      </c>
      <c r="L8" s="5"/>
      <c r="M8" s="6">
        <v>2</v>
      </c>
      <c r="N8" s="5">
        <v>12</v>
      </c>
      <c r="O8" s="1" t="s">
        <v>222</v>
      </c>
      <c r="P8" s="12">
        <v>0.2046</v>
      </c>
      <c r="Q8" s="11">
        <f>P8*M8</f>
        <v>0.40920000000000001</v>
      </c>
      <c r="R8" s="12">
        <v>0.16300000000000001</v>
      </c>
      <c r="S8" s="11">
        <f t="shared" si="0"/>
        <v>1.956</v>
      </c>
      <c r="T8" s="105" t="s">
        <v>280</v>
      </c>
    </row>
    <row r="9" spans="1:20" ht="15.75" thickBot="1" x14ac:dyDescent="0.3">
      <c r="A9" s="27">
        <v>7</v>
      </c>
      <c r="B9" s="172"/>
      <c r="C9" s="112" t="s">
        <v>265</v>
      </c>
      <c r="D9" s="113" t="s">
        <v>284</v>
      </c>
      <c r="E9" s="114" t="s">
        <v>14</v>
      </c>
      <c r="F9" s="114" t="s">
        <v>266</v>
      </c>
      <c r="G9" s="115" t="s">
        <v>153</v>
      </c>
      <c r="H9" s="4" t="s">
        <v>267</v>
      </c>
      <c r="I9" s="46" t="s">
        <v>161</v>
      </c>
      <c r="J9" s="92" t="s">
        <v>268</v>
      </c>
      <c r="K9" s="5">
        <v>20</v>
      </c>
      <c r="L9" s="5"/>
      <c r="M9" s="6">
        <v>1</v>
      </c>
      <c r="N9" s="5">
        <v>20</v>
      </c>
      <c r="O9" s="1" t="s">
        <v>222</v>
      </c>
      <c r="P9" s="12">
        <v>2.5399999999999999E-2</v>
      </c>
      <c r="Q9" s="11">
        <f>P9*K9</f>
        <v>0.50800000000000001</v>
      </c>
      <c r="R9" s="12">
        <v>2.5399999999999999E-2</v>
      </c>
      <c r="S9" s="11">
        <f t="shared" si="0"/>
        <v>0.50800000000000001</v>
      </c>
      <c r="T9" s="105"/>
    </row>
    <row r="10" spans="1:20" ht="15.75" thickBot="1" x14ac:dyDescent="0.3">
      <c r="A10" s="27">
        <v>8</v>
      </c>
      <c r="B10" s="173"/>
      <c r="C10" s="131" t="s">
        <v>312</v>
      </c>
      <c r="D10" s="132" t="s">
        <v>313</v>
      </c>
      <c r="E10" s="133" t="s">
        <v>314</v>
      </c>
      <c r="F10" s="133" t="s">
        <v>315</v>
      </c>
      <c r="G10" s="134" t="s">
        <v>323</v>
      </c>
      <c r="H10" s="75" t="s">
        <v>324</v>
      </c>
      <c r="I10" s="82" t="s">
        <v>332</v>
      </c>
      <c r="J10" s="75" t="s">
        <v>318</v>
      </c>
      <c r="K10" s="77">
        <v>10</v>
      </c>
      <c r="L10" s="77"/>
      <c r="M10" s="76">
        <v>2</v>
      </c>
      <c r="N10" s="10">
        <v>20</v>
      </c>
      <c r="O10" s="116" t="s">
        <v>222</v>
      </c>
      <c r="P10" s="135">
        <v>6.13E-2</v>
      </c>
      <c r="Q10" s="85">
        <f>P10*K10</f>
        <v>0.61299999999999999</v>
      </c>
      <c r="R10" s="135">
        <v>6.13E-2</v>
      </c>
      <c r="S10" s="136">
        <f t="shared" si="0"/>
        <v>1.226</v>
      </c>
      <c r="T10" s="137" t="s">
        <v>333</v>
      </c>
    </row>
    <row r="11" spans="1:20" ht="15.75" thickBot="1" x14ac:dyDescent="0.3">
      <c r="A11" s="27">
        <v>9</v>
      </c>
      <c r="B11" s="171" t="s">
        <v>31</v>
      </c>
      <c r="C11" s="24" t="s">
        <v>32</v>
      </c>
      <c r="D11" s="49" t="s">
        <v>33</v>
      </c>
      <c r="E11" s="14" t="s">
        <v>34</v>
      </c>
      <c r="F11" s="121" t="s">
        <v>35</v>
      </c>
      <c r="G11" s="15" t="s">
        <v>146</v>
      </c>
      <c r="H11" s="17" t="s">
        <v>269</v>
      </c>
      <c r="I11" s="45" t="s">
        <v>270</v>
      </c>
      <c r="J11" s="14" t="s">
        <v>158</v>
      </c>
      <c r="K11" s="16">
        <v>5</v>
      </c>
      <c r="L11" s="16"/>
      <c r="M11" s="17">
        <v>2</v>
      </c>
      <c r="N11" s="16">
        <v>15</v>
      </c>
      <c r="O11" s="15" t="s">
        <v>222</v>
      </c>
      <c r="P11" s="18">
        <v>8.5800000000000001E-2</v>
      </c>
      <c r="Q11" s="79">
        <f>P11*K11</f>
        <v>0.42899999999999999</v>
      </c>
      <c r="R11" s="18">
        <v>8.5800000000000001E-2</v>
      </c>
      <c r="S11" s="79">
        <f t="shared" si="0"/>
        <v>1.2869999999999999</v>
      </c>
      <c r="T11" s="110" t="s">
        <v>331</v>
      </c>
    </row>
    <row r="12" spans="1:20" ht="15.75" thickBot="1" x14ac:dyDescent="0.3">
      <c r="A12" s="27">
        <v>10</v>
      </c>
      <c r="B12" s="172"/>
      <c r="C12" s="25" t="s">
        <v>169</v>
      </c>
      <c r="D12" s="50" t="s">
        <v>36</v>
      </c>
      <c r="E12" s="4" t="s">
        <v>37</v>
      </c>
      <c r="F12" s="4" t="s">
        <v>38</v>
      </c>
      <c r="G12" s="2" t="s">
        <v>39</v>
      </c>
      <c r="H12" s="6" t="s">
        <v>223</v>
      </c>
      <c r="I12" s="46" t="s">
        <v>161</v>
      </c>
      <c r="J12" s="4" t="s">
        <v>158</v>
      </c>
      <c r="K12" s="5">
        <v>10</v>
      </c>
      <c r="L12" s="5"/>
      <c r="M12" s="6">
        <v>1</v>
      </c>
      <c r="N12" s="5">
        <v>10</v>
      </c>
      <c r="O12" s="1" t="s">
        <v>222</v>
      </c>
      <c r="P12" s="12">
        <v>4.1799999999999997E-2</v>
      </c>
      <c r="Q12" s="11">
        <f t="shared" si="2"/>
        <v>0.41799999999999998</v>
      </c>
      <c r="R12" s="12">
        <v>4.1799999999999997E-2</v>
      </c>
      <c r="S12" s="11">
        <f t="shared" si="0"/>
        <v>0.41799999999999998</v>
      </c>
      <c r="T12" s="7"/>
    </row>
    <row r="13" spans="1:20" ht="15.75" thickBot="1" x14ac:dyDescent="0.3">
      <c r="A13" s="27">
        <v>11</v>
      </c>
      <c r="B13" s="172"/>
      <c r="C13" s="25" t="s">
        <v>40</v>
      </c>
      <c r="D13" s="50" t="s">
        <v>41</v>
      </c>
      <c r="E13" s="4" t="s">
        <v>42</v>
      </c>
      <c r="F13" s="120" t="s">
        <v>43</v>
      </c>
      <c r="G13" s="3" t="s">
        <v>147</v>
      </c>
      <c r="H13" s="6" t="s">
        <v>224</v>
      </c>
      <c r="I13" s="46" t="s">
        <v>225</v>
      </c>
      <c r="J13" s="4" t="s">
        <v>158</v>
      </c>
      <c r="K13" s="5">
        <v>50</v>
      </c>
      <c r="L13" s="5"/>
      <c r="M13" s="6">
        <v>2</v>
      </c>
      <c r="N13" s="5">
        <v>50</v>
      </c>
      <c r="O13" s="1" t="s">
        <v>222</v>
      </c>
      <c r="P13" s="12">
        <v>1.4800000000000001E-2</v>
      </c>
      <c r="Q13" s="11">
        <f t="shared" si="2"/>
        <v>0.74</v>
      </c>
      <c r="R13" s="12">
        <v>1.4800000000000001E-2</v>
      </c>
      <c r="S13" s="11">
        <f t="shared" si="0"/>
        <v>0.74</v>
      </c>
      <c r="T13" s="7"/>
    </row>
    <row r="14" spans="1:20" ht="15.75" thickBot="1" x14ac:dyDescent="0.3">
      <c r="A14" s="27">
        <v>12</v>
      </c>
      <c r="B14" s="173"/>
      <c r="C14" s="26" t="s">
        <v>170</v>
      </c>
      <c r="D14" s="52" t="s">
        <v>171</v>
      </c>
      <c r="E14" s="8" t="s">
        <v>172</v>
      </c>
      <c r="F14" s="122" t="s">
        <v>173</v>
      </c>
      <c r="G14" s="22" t="s">
        <v>174</v>
      </c>
      <c r="H14" s="9" t="s">
        <v>271</v>
      </c>
      <c r="I14" s="47" t="s">
        <v>272</v>
      </c>
      <c r="J14" s="8" t="s">
        <v>158</v>
      </c>
      <c r="K14" s="75">
        <v>10</v>
      </c>
      <c r="L14" s="75"/>
      <c r="M14" s="76">
        <v>1</v>
      </c>
      <c r="N14" s="77">
        <f t="shared" si="1"/>
        <v>5</v>
      </c>
      <c r="O14" s="21" t="s">
        <v>222</v>
      </c>
      <c r="P14" s="13">
        <v>7.8299999999999995E-2</v>
      </c>
      <c r="Q14" s="85">
        <f t="shared" si="2"/>
        <v>0.78299999999999992</v>
      </c>
      <c r="R14" s="13">
        <v>7.8299999999999995E-2</v>
      </c>
      <c r="S14" s="85">
        <f t="shared" si="0"/>
        <v>0.39149999999999996</v>
      </c>
      <c r="T14" s="137" t="s">
        <v>264</v>
      </c>
    </row>
    <row r="15" spans="1:20" ht="15.75" thickBot="1" x14ac:dyDescent="0.3">
      <c r="A15" s="27">
        <v>13</v>
      </c>
      <c r="B15" s="171" t="s">
        <v>297</v>
      </c>
      <c r="C15" s="24" t="s">
        <v>285</v>
      </c>
      <c r="D15" s="49" t="s">
        <v>286</v>
      </c>
      <c r="E15" s="14" t="s">
        <v>293</v>
      </c>
      <c r="F15" s="14" t="s">
        <v>287</v>
      </c>
      <c r="G15" s="23" t="s">
        <v>295</v>
      </c>
      <c r="H15" s="17" t="s">
        <v>298</v>
      </c>
      <c r="I15" s="45" t="s">
        <v>161</v>
      </c>
      <c r="J15" s="14" t="s">
        <v>158</v>
      </c>
      <c r="K15" s="14">
        <v>20</v>
      </c>
      <c r="L15" s="14"/>
      <c r="M15" s="17">
        <v>1</v>
      </c>
      <c r="N15" s="16">
        <v>20</v>
      </c>
      <c r="O15" s="125" t="s">
        <v>222</v>
      </c>
      <c r="P15" s="18">
        <v>2.2800000000000001E-2</v>
      </c>
      <c r="Q15" s="79">
        <f>P15*K15</f>
        <v>0.45600000000000002</v>
      </c>
      <c r="R15" s="18">
        <v>2.2800000000000001E-2</v>
      </c>
      <c r="S15" s="79">
        <f t="shared" si="0"/>
        <v>0.45600000000000002</v>
      </c>
      <c r="T15" s="110"/>
    </row>
    <row r="16" spans="1:20" ht="15.75" thickBot="1" x14ac:dyDescent="0.3">
      <c r="A16" s="27">
        <v>14</v>
      </c>
      <c r="B16" s="172"/>
      <c r="C16" s="25" t="s">
        <v>288</v>
      </c>
      <c r="D16" s="50" t="s">
        <v>289</v>
      </c>
      <c r="E16" s="4" t="s">
        <v>293</v>
      </c>
      <c r="F16" s="4" t="s">
        <v>290</v>
      </c>
      <c r="G16" s="3" t="s">
        <v>296</v>
      </c>
      <c r="H16" s="6" t="s">
        <v>299</v>
      </c>
      <c r="I16" s="46" t="s">
        <v>161</v>
      </c>
      <c r="J16" s="4" t="s">
        <v>158</v>
      </c>
      <c r="K16" s="4">
        <v>20</v>
      </c>
      <c r="L16" s="4"/>
      <c r="M16" s="6">
        <v>1</v>
      </c>
      <c r="N16" s="5">
        <v>20</v>
      </c>
      <c r="O16" s="111" t="s">
        <v>222</v>
      </c>
      <c r="P16" s="12">
        <v>2.7900000000000001E-2</v>
      </c>
      <c r="Q16" s="83">
        <f t="shared" si="2"/>
        <v>0.55800000000000005</v>
      </c>
      <c r="R16" s="12">
        <v>2.7900000000000001E-2</v>
      </c>
      <c r="S16" s="11">
        <f t="shared" si="0"/>
        <v>0.55800000000000005</v>
      </c>
      <c r="T16" s="105"/>
    </row>
    <row r="17" spans="1:20" ht="15.75" thickBot="1" x14ac:dyDescent="0.3">
      <c r="A17" s="27">
        <v>15</v>
      </c>
      <c r="B17" s="173"/>
      <c r="C17" s="26" t="s">
        <v>291</v>
      </c>
      <c r="D17" s="52" t="s">
        <v>292</v>
      </c>
      <c r="E17" s="8" t="s">
        <v>293</v>
      </c>
      <c r="F17" s="8" t="s">
        <v>294</v>
      </c>
      <c r="G17" s="22" t="s">
        <v>295</v>
      </c>
      <c r="H17" s="9" t="s">
        <v>300</v>
      </c>
      <c r="I17" s="47" t="s">
        <v>161</v>
      </c>
      <c r="J17" s="8" t="s">
        <v>158</v>
      </c>
      <c r="K17" s="8">
        <v>20</v>
      </c>
      <c r="L17" s="8"/>
      <c r="M17" s="9">
        <v>1</v>
      </c>
      <c r="N17" s="10">
        <v>20</v>
      </c>
      <c r="O17" s="126" t="s">
        <v>222</v>
      </c>
      <c r="P17" s="13">
        <v>1.9900000000000001E-2</v>
      </c>
      <c r="Q17" s="85">
        <f t="shared" si="2"/>
        <v>0.39800000000000002</v>
      </c>
      <c r="R17" s="13">
        <v>1.9900000000000001E-2</v>
      </c>
      <c r="S17" s="85">
        <f t="shared" si="0"/>
        <v>0.39800000000000002</v>
      </c>
      <c r="T17" s="117"/>
    </row>
    <row r="18" spans="1:20" ht="15.75" thickBot="1" x14ac:dyDescent="0.3">
      <c r="A18" s="27">
        <v>16</v>
      </c>
      <c r="B18" s="166" t="s">
        <v>44</v>
      </c>
      <c r="C18" s="24" t="s">
        <v>45</v>
      </c>
      <c r="D18" s="49" t="s">
        <v>319</v>
      </c>
      <c r="E18" s="14" t="s">
        <v>162</v>
      </c>
      <c r="F18" s="14" t="s">
        <v>46</v>
      </c>
      <c r="G18" s="23" t="s">
        <v>148</v>
      </c>
      <c r="H18" s="140" t="s">
        <v>273</v>
      </c>
      <c r="I18" s="45" t="s">
        <v>161</v>
      </c>
      <c r="J18" s="14" t="s">
        <v>131</v>
      </c>
      <c r="K18" s="16">
        <v>5</v>
      </c>
      <c r="L18" s="16"/>
      <c r="M18" s="17">
        <v>2</v>
      </c>
      <c r="N18" s="16">
        <f t="shared" si="1"/>
        <v>10</v>
      </c>
      <c r="O18" s="118" t="s">
        <v>336</v>
      </c>
      <c r="P18" s="18">
        <v>2.9</v>
      </c>
      <c r="Q18" s="19">
        <f>P18*M18</f>
        <v>5.8</v>
      </c>
      <c r="R18" s="18">
        <v>2.9</v>
      </c>
      <c r="S18" s="79">
        <f t="shared" si="0"/>
        <v>29</v>
      </c>
      <c r="T18" s="141" t="s">
        <v>274</v>
      </c>
    </row>
    <row r="19" spans="1:20" ht="15.75" thickBot="1" x14ac:dyDescent="0.3">
      <c r="A19" s="27">
        <v>17</v>
      </c>
      <c r="B19" s="168"/>
      <c r="C19" s="26" t="s">
        <v>47</v>
      </c>
      <c r="D19" s="52" t="s">
        <v>48</v>
      </c>
      <c r="E19" s="8" t="s">
        <v>162</v>
      </c>
      <c r="F19" s="8" t="s">
        <v>49</v>
      </c>
      <c r="G19" s="22" t="s">
        <v>149</v>
      </c>
      <c r="H19" s="9" t="s">
        <v>226</v>
      </c>
      <c r="I19" s="47" t="s">
        <v>161</v>
      </c>
      <c r="J19" s="8" t="s">
        <v>132</v>
      </c>
      <c r="K19" s="10">
        <v>1</v>
      </c>
      <c r="L19" s="10"/>
      <c r="M19" s="9">
        <v>1</v>
      </c>
      <c r="N19" s="10">
        <f t="shared" si="1"/>
        <v>5</v>
      </c>
      <c r="O19" s="21" t="s">
        <v>222</v>
      </c>
      <c r="P19" s="13">
        <v>0.35360000000000003</v>
      </c>
      <c r="Q19" s="85">
        <f t="shared" si="2"/>
        <v>0.35360000000000003</v>
      </c>
      <c r="R19" s="13">
        <v>0.35360000000000003</v>
      </c>
      <c r="S19" s="136">
        <f t="shared" si="0"/>
        <v>1.7680000000000002</v>
      </c>
      <c r="T19" s="142"/>
    </row>
    <row r="20" spans="1:20" ht="15.75" thickBot="1" x14ac:dyDescent="0.3">
      <c r="A20" s="27">
        <v>18</v>
      </c>
      <c r="B20" s="170" t="s">
        <v>50</v>
      </c>
      <c r="C20" s="86" t="s">
        <v>51</v>
      </c>
      <c r="D20" s="87" t="s">
        <v>52</v>
      </c>
      <c r="E20" s="88" t="s">
        <v>168</v>
      </c>
      <c r="F20" s="88" t="s">
        <v>53</v>
      </c>
      <c r="G20" s="138" t="s">
        <v>39</v>
      </c>
      <c r="H20" s="99" t="s">
        <v>227</v>
      </c>
      <c r="I20" s="100" t="s">
        <v>161</v>
      </c>
      <c r="J20" s="97" t="s">
        <v>158</v>
      </c>
      <c r="K20" s="101">
        <v>50</v>
      </c>
      <c r="L20" s="101"/>
      <c r="M20" s="99">
        <v>2</v>
      </c>
      <c r="N20" s="101">
        <f t="shared" si="1"/>
        <v>10</v>
      </c>
      <c r="O20" s="102" t="s">
        <v>222</v>
      </c>
      <c r="P20" s="89">
        <v>2.8299999999999999E-2</v>
      </c>
      <c r="Q20" s="83">
        <f t="shared" si="2"/>
        <v>1.415</v>
      </c>
      <c r="R20" s="89">
        <v>2.8299999999999999E-2</v>
      </c>
      <c r="S20" s="83">
        <f t="shared" si="0"/>
        <v>0.28299999999999997</v>
      </c>
      <c r="T20" s="139"/>
    </row>
    <row r="21" spans="1:20" ht="15.75" thickBot="1" x14ac:dyDescent="0.3">
      <c r="A21" s="27">
        <v>19</v>
      </c>
      <c r="B21" s="167"/>
      <c r="C21" s="25" t="s">
        <v>175</v>
      </c>
      <c r="D21" s="50" t="s">
        <v>55</v>
      </c>
      <c r="E21" s="4" t="s">
        <v>176</v>
      </c>
      <c r="F21" s="4" t="s">
        <v>177</v>
      </c>
      <c r="G21" s="35" t="s">
        <v>57</v>
      </c>
      <c r="H21" s="6" t="s">
        <v>248</v>
      </c>
      <c r="I21" s="48" t="s">
        <v>161</v>
      </c>
      <c r="J21" s="34" t="s">
        <v>158</v>
      </c>
      <c r="K21" s="34">
        <v>1</v>
      </c>
      <c r="L21" s="34"/>
      <c r="M21" s="37">
        <v>1</v>
      </c>
      <c r="N21" s="36">
        <v>6</v>
      </c>
      <c r="O21" s="1" t="s">
        <v>222</v>
      </c>
      <c r="P21" s="38">
        <v>0.2087</v>
      </c>
      <c r="Q21" s="11">
        <f t="shared" si="2"/>
        <v>0.2087</v>
      </c>
      <c r="R21" s="38">
        <v>0.2087</v>
      </c>
      <c r="S21" s="11">
        <f t="shared" si="0"/>
        <v>1.2522</v>
      </c>
      <c r="T21" s="39"/>
    </row>
    <row r="22" spans="1:20" ht="15.75" thickBot="1" x14ac:dyDescent="0.3">
      <c r="A22" s="27">
        <v>20</v>
      </c>
      <c r="B22" s="169"/>
      <c r="C22" s="90" t="s">
        <v>54</v>
      </c>
      <c r="D22" s="91" t="s">
        <v>303</v>
      </c>
      <c r="E22" s="92" t="s">
        <v>168</v>
      </c>
      <c r="F22" s="143" t="s">
        <v>56</v>
      </c>
      <c r="G22" s="93" t="s">
        <v>57</v>
      </c>
      <c r="H22" s="144" t="s">
        <v>275</v>
      </c>
      <c r="I22" s="100" t="s">
        <v>276</v>
      </c>
      <c r="J22" s="97" t="s">
        <v>158</v>
      </c>
      <c r="K22" s="101">
        <v>50</v>
      </c>
      <c r="L22" s="101"/>
      <c r="M22" s="99">
        <v>1</v>
      </c>
      <c r="N22" s="101">
        <f t="shared" si="1"/>
        <v>5</v>
      </c>
      <c r="O22" s="93" t="s">
        <v>222</v>
      </c>
      <c r="P22" s="94">
        <v>2.0199999999999999E-2</v>
      </c>
      <c r="Q22" s="83">
        <f t="shared" si="2"/>
        <v>1.01</v>
      </c>
      <c r="R22" s="94">
        <v>2.0199999999999999E-2</v>
      </c>
      <c r="S22" s="83">
        <f t="shared" si="0"/>
        <v>0.10099999999999999</v>
      </c>
      <c r="T22" s="109" t="s">
        <v>167</v>
      </c>
    </row>
    <row r="23" spans="1:20" ht="26.25" thickBot="1" x14ac:dyDescent="0.3">
      <c r="A23" s="27">
        <v>21</v>
      </c>
      <c r="B23" s="166" t="s">
        <v>208</v>
      </c>
      <c r="C23" s="41" t="s">
        <v>58</v>
      </c>
      <c r="D23" s="49" t="s">
        <v>306</v>
      </c>
      <c r="E23" s="14" t="s">
        <v>59</v>
      </c>
      <c r="F23" s="121" t="s">
        <v>60</v>
      </c>
      <c r="G23" s="23" t="s">
        <v>150</v>
      </c>
      <c r="H23" s="17" t="s">
        <v>228</v>
      </c>
      <c r="I23" s="17" t="s">
        <v>230</v>
      </c>
      <c r="J23" s="14" t="s">
        <v>133</v>
      </c>
      <c r="K23" s="16">
        <v>10</v>
      </c>
      <c r="L23" s="16"/>
      <c r="M23" s="17">
        <v>7</v>
      </c>
      <c r="N23" s="16">
        <v>40</v>
      </c>
      <c r="O23" s="15" t="s">
        <v>222</v>
      </c>
      <c r="P23" s="18">
        <v>5.91E-2</v>
      </c>
      <c r="Q23" s="79">
        <f t="shared" si="2"/>
        <v>0.59099999999999997</v>
      </c>
      <c r="R23" s="18">
        <v>5.91E-2</v>
      </c>
      <c r="S23" s="79">
        <f t="shared" si="0"/>
        <v>2.3639999999999999</v>
      </c>
      <c r="T23" s="110" t="s">
        <v>167</v>
      </c>
    </row>
    <row r="24" spans="1:20" ht="15.75" thickBot="1" x14ac:dyDescent="0.3">
      <c r="A24" s="27">
        <v>22</v>
      </c>
      <c r="B24" s="167"/>
      <c r="C24" s="25" t="s">
        <v>61</v>
      </c>
      <c r="D24" s="50" t="s">
        <v>179</v>
      </c>
      <c r="E24" s="4" t="s">
        <v>59</v>
      </c>
      <c r="F24" s="4" t="s">
        <v>63</v>
      </c>
      <c r="G24" s="1" t="s">
        <v>64</v>
      </c>
      <c r="H24" s="6" t="s">
        <v>229</v>
      </c>
      <c r="I24" s="46" t="s">
        <v>161</v>
      </c>
      <c r="J24" s="4" t="s">
        <v>134</v>
      </c>
      <c r="K24" s="5">
        <v>100</v>
      </c>
      <c r="L24" s="5"/>
      <c r="M24" s="6">
        <v>1</v>
      </c>
      <c r="N24" s="5">
        <f t="shared" si="1"/>
        <v>5</v>
      </c>
      <c r="O24" s="1" t="s">
        <v>222</v>
      </c>
      <c r="P24" s="12">
        <v>1.6000000000000001E-3</v>
      </c>
      <c r="Q24" s="11">
        <f t="shared" si="2"/>
        <v>0.16</v>
      </c>
      <c r="R24" s="12">
        <v>1.6000000000000001E-3</v>
      </c>
      <c r="S24" s="11">
        <f t="shared" si="0"/>
        <v>8.0000000000000002E-3</v>
      </c>
      <c r="T24" s="7"/>
    </row>
    <row r="25" spans="1:20" ht="15.75" thickBot="1" x14ac:dyDescent="0.3">
      <c r="A25" s="27">
        <v>23</v>
      </c>
      <c r="B25" s="167"/>
      <c r="C25" s="25" t="s">
        <v>321</v>
      </c>
      <c r="D25" s="50" t="s">
        <v>310</v>
      </c>
      <c r="E25" s="4" t="s">
        <v>59</v>
      </c>
      <c r="F25" s="4" t="s">
        <v>322</v>
      </c>
      <c r="G25" s="1" t="s">
        <v>64</v>
      </c>
      <c r="H25" s="6" t="s">
        <v>334</v>
      </c>
      <c r="I25" s="46" t="s">
        <v>161</v>
      </c>
      <c r="J25" s="4" t="s">
        <v>320</v>
      </c>
      <c r="K25" s="5">
        <v>100</v>
      </c>
      <c r="L25" s="5"/>
      <c r="M25" s="6">
        <v>1</v>
      </c>
      <c r="N25" s="5">
        <v>5</v>
      </c>
      <c r="O25" s="111" t="s">
        <v>222</v>
      </c>
      <c r="P25" s="12">
        <v>1.1999999999999999E-3</v>
      </c>
      <c r="Q25" s="11">
        <f t="shared" si="2"/>
        <v>0.12</v>
      </c>
      <c r="R25" s="12">
        <v>1.1999999999999999E-3</v>
      </c>
      <c r="S25" s="11">
        <f t="shared" si="0"/>
        <v>5.9999999999999993E-3</v>
      </c>
      <c r="T25" s="7"/>
    </row>
    <row r="26" spans="1:20" ht="15.75" thickBot="1" x14ac:dyDescent="0.3">
      <c r="A26" s="27">
        <v>24</v>
      </c>
      <c r="B26" s="167"/>
      <c r="C26" s="25" t="s">
        <v>178</v>
      </c>
      <c r="D26" s="50" t="s">
        <v>309</v>
      </c>
      <c r="E26" s="4" t="s">
        <v>59</v>
      </c>
      <c r="F26" s="4" t="s">
        <v>180</v>
      </c>
      <c r="G26" s="1" t="s">
        <v>64</v>
      </c>
      <c r="H26" s="6" t="s">
        <v>249</v>
      </c>
      <c r="I26" s="46" t="s">
        <v>161</v>
      </c>
      <c r="J26" s="34" t="s">
        <v>181</v>
      </c>
      <c r="K26" s="34">
        <v>100</v>
      </c>
      <c r="L26" s="34"/>
      <c r="M26" s="37">
        <v>1</v>
      </c>
      <c r="N26" s="36">
        <f t="shared" si="1"/>
        <v>5</v>
      </c>
      <c r="O26" s="35" t="s">
        <v>222</v>
      </c>
      <c r="P26" s="38">
        <v>2E-3</v>
      </c>
      <c r="Q26" s="11">
        <f t="shared" si="2"/>
        <v>0.2</v>
      </c>
      <c r="R26" s="38">
        <v>2E-3</v>
      </c>
      <c r="S26" s="11">
        <f t="shared" si="0"/>
        <v>0.01</v>
      </c>
      <c r="T26" s="42"/>
    </row>
    <row r="27" spans="1:20" ht="26.25" thickBot="1" x14ac:dyDescent="0.3">
      <c r="A27" s="27">
        <v>25</v>
      </c>
      <c r="B27" s="167"/>
      <c r="C27" s="43" t="s">
        <v>184</v>
      </c>
      <c r="D27" s="50" t="s">
        <v>307</v>
      </c>
      <c r="E27" s="4" t="s">
        <v>59</v>
      </c>
      <c r="F27" s="120" t="s">
        <v>185</v>
      </c>
      <c r="G27" s="3" t="s">
        <v>150</v>
      </c>
      <c r="H27" s="6" t="s">
        <v>254</v>
      </c>
      <c r="I27" s="46" t="s">
        <v>253</v>
      </c>
      <c r="J27" s="4" t="s">
        <v>186</v>
      </c>
      <c r="K27" s="4">
        <v>20</v>
      </c>
      <c r="L27" s="4"/>
      <c r="M27" s="6">
        <v>3</v>
      </c>
      <c r="N27" s="5">
        <f t="shared" si="1"/>
        <v>15</v>
      </c>
      <c r="O27" s="1" t="s">
        <v>222</v>
      </c>
      <c r="P27" s="12">
        <v>3.7600000000000001E-2</v>
      </c>
      <c r="Q27" s="11">
        <f t="shared" si="2"/>
        <v>0.752</v>
      </c>
      <c r="R27" s="12">
        <v>3.7600000000000001E-2</v>
      </c>
      <c r="S27" s="11">
        <f t="shared" si="0"/>
        <v>0.56400000000000006</v>
      </c>
      <c r="T27" s="105" t="s">
        <v>167</v>
      </c>
    </row>
    <row r="28" spans="1:20" ht="15.75" thickBot="1" x14ac:dyDescent="0.3">
      <c r="A28" s="27">
        <v>26</v>
      </c>
      <c r="B28" s="167"/>
      <c r="C28" s="25" t="s">
        <v>65</v>
      </c>
      <c r="D28" s="50" t="s">
        <v>305</v>
      </c>
      <c r="E28" s="4" t="s">
        <v>59</v>
      </c>
      <c r="F28" s="120" t="s">
        <v>66</v>
      </c>
      <c r="G28" s="3" t="s">
        <v>152</v>
      </c>
      <c r="H28" s="6" t="s">
        <v>251</v>
      </c>
      <c r="I28" s="46" t="s">
        <v>250</v>
      </c>
      <c r="J28" s="4" t="s">
        <v>135</v>
      </c>
      <c r="K28" s="4">
        <v>100</v>
      </c>
      <c r="L28" s="4"/>
      <c r="M28" s="6">
        <v>1</v>
      </c>
      <c r="N28" s="5">
        <f t="shared" si="1"/>
        <v>5</v>
      </c>
      <c r="O28" s="1" t="s">
        <v>222</v>
      </c>
      <c r="P28" s="12">
        <v>2.3999999999999998E-3</v>
      </c>
      <c r="Q28" s="11">
        <f t="shared" si="2"/>
        <v>0.24</v>
      </c>
      <c r="R28" s="12">
        <v>2.3999999999999998E-3</v>
      </c>
      <c r="S28" s="11">
        <f t="shared" si="0"/>
        <v>1.1999999999999999E-2</v>
      </c>
      <c r="T28" s="105" t="s">
        <v>167</v>
      </c>
    </row>
    <row r="29" spans="1:20" ht="26.25" thickBot="1" x14ac:dyDescent="0.3">
      <c r="A29" s="27">
        <v>27</v>
      </c>
      <c r="B29" s="167"/>
      <c r="C29" s="43" t="s">
        <v>67</v>
      </c>
      <c r="D29" s="50" t="s">
        <v>308</v>
      </c>
      <c r="E29" s="4" t="s">
        <v>59</v>
      </c>
      <c r="F29" s="4" t="s">
        <v>68</v>
      </c>
      <c r="G29" s="3" t="s">
        <v>154</v>
      </c>
      <c r="H29" s="6" t="s">
        <v>252</v>
      </c>
      <c r="I29" s="177" t="s">
        <v>161</v>
      </c>
      <c r="J29" s="4" t="s">
        <v>136</v>
      </c>
      <c r="K29" s="4">
        <v>20</v>
      </c>
      <c r="L29" s="4"/>
      <c r="M29" s="6">
        <v>1</v>
      </c>
      <c r="N29" s="5">
        <f t="shared" si="1"/>
        <v>5</v>
      </c>
      <c r="O29" s="1" t="s">
        <v>222</v>
      </c>
      <c r="P29" s="12">
        <v>2.2100000000000002E-2</v>
      </c>
      <c r="Q29" s="11">
        <f t="shared" si="2"/>
        <v>0.44200000000000006</v>
      </c>
      <c r="R29" s="12">
        <v>2.2100000000000002E-2</v>
      </c>
      <c r="S29" s="11">
        <f t="shared" si="0"/>
        <v>0.11050000000000001</v>
      </c>
      <c r="T29" s="7"/>
    </row>
    <row r="30" spans="1:20" ht="15.75" thickBot="1" x14ac:dyDescent="0.3">
      <c r="A30" s="27">
        <v>28</v>
      </c>
      <c r="B30" s="167"/>
      <c r="C30" s="25" t="s">
        <v>69</v>
      </c>
      <c r="D30" s="50" t="s">
        <v>304</v>
      </c>
      <c r="E30" s="4" t="s">
        <v>59</v>
      </c>
      <c r="F30" s="120" t="s">
        <v>70</v>
      </c>
      <c r="G30" s="3" t="s">
        <v>155</v>
      </c>
      <c r="H30" s="6" t="s">
        <v>237</v>
      </c>
      <c r="I30" s="6" t="s">
        <v>238</v>
      </c>
      <c r="J30" s="4" t="s">
        <v>137</v>
      </c>
      <c r="K30" s="5">
        <v>20</v>
      </c>
      <c r="L30" s="5"/>
      <c r="M30" s="6">
        <v>4</v>
      </c>
      <c r="N30" s="5">
        <f t="shared" si="1"/>
        <v>20</v>
      </c>
      <c r="O30" s="1" t="s">
        <v>222</v>
      </c>
      <c r="P30" s="12">
        <v>3.7600000000000001E-2</v>
      </c>
      <c r="Q30" s="11">
        <f t="shared" si="2"/>
        <v>0.752</v>
      </c>
      <c r="R30" s="12">
        <v>3.7600000000000001E-2</v>
      </c>
      <c r="S30" s="11">
        <f t="shared" si="0"/>
        <v>0.752</v>
      </c>
      <c r="T30" s="105" t="s">
        <v>167</v>
      </c>
    </row>
    <row r="31" spans="1:20" ht="15.75" thickBot="1" x14ac:dyDescent="0.3">
      <c r="A31" s="27">
        <v>29</v>
      </c>
      <c r="B31" s="167"/>
      <c r="C31" s="25" t="s">
        <v>71</v>
      </c>
      <c r="D31" s="50" t="s">
        <v>62</v>
      </c>
      <c r="E31" s="4" t="s">
        <v>59</v>
      </c>
      <c r="F31" s="120" t="s">
        <v>72</v>
      </c>
      <c r="G31" s="3" t="s">
        <v>155</v>
      </c>
      <c r="H31" s="6" t="s">
        <v>236</v>
      </c>
      <c r="I31" s="6" t="s">
        <v>235</v>
      </c>
      <c r="J31" s="4" t="s">
        <v>138</v>
      </c>
      <c r="K31" s="5">
        <v>100</v>
      </c>
      <c r="L31" s="5"/>
      <c r="M31" s="6">
        <v>1</v>
      </c>
      <c r="N31" s="5">
        <f t="shared" si="1"/>
        <v>5</v>
      </c>
      <c r="O31" s="1" t="s">
        <v>222</v>
      </c>
      <c r="P31" s="12">
        <v>1.1999999999999999E-3</v>
      </c>
      <c r="Q31" s="11">
        <f t="shared" si="2"/>
        <v>0.12</v>
      </c>
      <c r="R31" s="12">
        <v>1.1999999999999999E-3</v>
      </c>
      <c r="S31" s="11">
        <f t="shared" si="0"/>
        <v>5.9999999999999993E-3</v>
      </c>
      <c r="T31" s="105" t="s">
        <v>167</v>
      </c>
    </row>
    <row r="32" spans="1:20" ht="15.75" thickBot="1" x14ac:dyDescent="0.3">
      <c r="A32" s="27">
        <v>30</v>
      </c>
      <c r="B32" s="167"/>
      <c r="C32" s="25" t="s">
        <v>165</v>
      </c>
      <c r="D32" s="50" t="s">
        <v>73</v>
      </c>
      <c r="E32" s="4" t="s">
        <v>182</v>
      </c>
      <c r="F32" s="120" t="s">
        <v>166</v>
      </c>
      <c r="G32" s="44" t="s">
        <v>183</v>
      </c>
      <c r="H32" s="6" t="s">
        <v>256</v>
      </c>
      <c r="I32" s="46" t="s">
        <v>255</v>
      </c>
      <c r="J32" s="4" t="s">
        <v>139</v>
      </c>
      <c r="K32" s="4">
        <v>10</v>
      </c>
      <c r="L32" s="4"/>
      <c r="M32" s="37">
        <v>1</v>
      </c>
      <c r="N32" s="36">
        <f t="shared" si="1"/>
        <v>5</v>
      </c>
      <c r="O32" s="1" t="s">
        <v>222</v>
      </c>
      <c r="P32" s="38">
        <v>4.19E-2</v>
      </c>
      <c r="Q32" s="11">
        <f t="shared" si="2"/>
        <v>0.41899999999999998</v>
      </c>
      <c r="R32" s="38">
        <v>4.19E-2</v>
      </c>
      <c r="S32" s="11">
        <f t="shared" si="0"/>
        <v>0.20949999999999999</v>
      </c>
      <c r="T32" s="105" t="s">
        <v>167</v>
      </c>
    </row>
    <row r="33" spans="1:20" ht="15.75" thickBot="1" x14ac:dyDescent="0.3">
      <c r="A33" s="27">
        <v>31</v>
      </c>
      <c r="B33" s="167"/>
      <c r="C33" s="25" t="s">
        <v>74</v>
      </c>
      <c r="D33" s="50" t="s">
        <v>75</v>
      </c>
      <c r="E33" s="4" t="s">
        <v>59</v>
      </c>
      <c r="F33" s="120" t="s">
        <v>76</v>
      </c>
      <c r="G33" s="3" t="s">
        <v>155</v>
      </c>
      <c r="H33" s="6" t="s">
        <v>233</v>
      </c>
      <c r="I33" s="6" t="s">
        <v>231</v>
      </c>
      <c r="J33" s="4" t="s">
        <v>140</v>
      </c>
      <c r="K33" s="5">
        <v>100</v>
      </c>
      <c r="L33" s="5"/>
      <c r="M33" s="6">
        <v>1</v>
      </c>
      <c r="N33" s="5">
        <f t="shared" si="1"/>
        <v>5</v>
      </c>
      <c r="O33" s="1" t="s">
        <v>222</v>
      </c>
      <c r="P33" s="12">
        <v>1.4E-3</v>
      </c>
      <c r="Q33" s="11">
        <f t="shared" si="2"/>
        <v>0.13999999999999999</v>
      </c>
      <c r="R33" s="12">
        <v>1.4E-3</v>
      </c>
      <c r="S33" s="11">
        <f t="shared" si="0"/>
        <v>7.0000000000000001E-3</v>
      </c>
      <c r="T33" s="105" t="s">
        <v>167</v>
      </c>
    </row>
    <row r="34" spans="1:20" ht="15.75" thickBot="1" x14ac:dyDescent="0.3">
      <c r="A34" s="27">
        <v>32</v>
      </c>
      <c r="B34" s="167"/>
      <c r="C34" s="25" t="s">
        <v>77</v>
      </c>
      <c r="D34" s="50" t="s">
        <v>78</v>
      </c>
      <c r="E34" s="4" t="s">
        <v>59</v>
      </c>
      <c r="F34" s="120" t="s">
        <v>79</v>
      </c>
      <c r="G34" s="3" t="s">
        <v>153</v>
      </c>
      <c r="H34" s="6" t="s">
        <v>234</v>
      </c>
      <c r="I34" s="73" t="s">
        <v>232</v>
      </c>
      <c r="J34" s="4" t="s">
        <v>141</v>
      </c>
      <c r="K34" s="5">
        <v>100</v>
      </c>
      <c r="L34" s="5"/>
      <c r="M34" s="6">
        <v>1</v>
      </c>
      <c r="N34" s="5">
        <f t="shared" si="1"/>
        <v>5</v>
      </c>
      <c r="O34" s="1" t="s">
        <v>222</v>
      </c>
      <c r="P34" s="12">
        <v>1.4E-3</v>
      </c>
      <c r="Q34" s="11">
        <f t="shared" si="2"/>
        <v>0.13999999999999999</v>
      </c>
      <c r="R34" s="12">
        <v>1.4E-3</v>
      </c>
      <c r="S34" s="11">
        <f t="shared" si="0"/>
        <v>7.0000000000000001E-3</v>
      </c>
      <c r="T34" s="105" t="s">
        <v>167</v>
      </c>
    </row>
    <row r="35" spans="1:20" ht="15.75" thickBot="1" x14ac:dyDescent="0.3">
      <c r="A35" s="27">
        <v>33</v>
      </c>
      <c r="B35" s="168"/>
      <c r="C35" s="26" t="s">
        <v>80</v>
      </c>
      <c r="D35" s="52" t="s">
        <v>81</v>
      </c>
      <c r="E35" s="8" t="s">
        <v>59</v>
      </c>
      <c r="F35" s="122" t="s">
        <v>82</v>
      </c>
      <c r="G35" s="21" t="s">
        <v>151</v>
      </c>
      <c r="H35" s="9" t="s">
        <v>240</v>
      </c>
      <c r="I35" s="145" t="s">
        <v>239</v>
      </c>
      <c r="J35" s="8" t="s">
        <v>142</v>
      </c>
      <c r="K35" s="10">
        <v>100</v>
      </c>
      <c r="L35" s="10"/>
      <c r="M35" s="9">
        <v>4</v>
      </c>
      <c r="N35" s="10">
        <f t="shared" si="1"/>
        <v>20</v>
      </c>
      <c r="O35" s="21" t="s">
        <v>222</v>
      </c>
      <c r="P35" s="13">
        <v>1.8E-3</v>
      </c>
      <c r="Q35" s="136">
        <f t="shared" si="2"/>
        <v>0.18</v>
      </c>
      <c r="R35" s="13">
        <v>1.8E-3</v>
      </c>
      <c r="S35" s="136">
        <f t="shared" si="0"/>
        <v>3.5999999999999997E-2</v>
      </c>
      <c r="T35" s="117" t="s">
        <v>167</v>
      </c>
    </row>
    <row r="36" spans="1:20" ht="15.75" thickBot="1" x14ac:dyDescent="0.3">
      <c r="A36" s="27">
        <v>34</v>
      </c>
      <c r="B36" s="119" t="s">
        <v>83</v>
      </c>
      <c r="C36" s="95" t="s">
        <v>187</v>
      </c>
      <c r="D36" s="96" t="s">
        <v>84</v>
      </c>
      <c r="E36" s="97" t="s">
        <v>162</v>
      </c>
      <c r="F36" s="97" t="s">
        <v>188</v>
      </c>
      <c r="G36" s="98" t="s">
        <v>189</v>
      </c>
      <c r="H36" s="99" t="s">
        <v>257</v>
      </c>
      <c r="I36" s="178" t="s">
        <v>161</v>
      </c>
      <c r="J36" s="97" t="s">
        <v>158</v>
      </c>
      <c r="K36" s="97">
        <v>1</v>
      </c>
      <c r="L36" s="97"/>
      <c r="M36" s="99">
        <v>1</v>
      </c>
      <c r="N36" s="101">
        <f t="shared" si="1"/>
        <v>5</v>
      </c>
      <c r="O36" s="102" t="s">
        <v>222</v>
      </c>
      <c r="P36" s="103">
        <v>0.25850000000000001</v>
      </c>
      <c r="Q36" s="83">
        <f t="shared" si="2"/>
        <v>0.25850000000000001</v>
      </c>
      <c r="R36" s="103">
        <v>0.25850000000000001</v>
      </c>
      <c r="S36" s="80">
        <f t="shared" si="0"/>
        <v>1.2925</v>
      </c>
      <c r="T36" s="107"/>
    </row>
    <row r="37" spans="1:20" ht="15.75" thickBot="1" x14ac:dyDescent="0.3">
      <c r="A37" s="27">
        <v>35</v>
      </c>
      <c r="B37" s="166" t="s">
        <v>85</v>
      </c>
      <c r="C37" s="69" t="s">
        <v>86</v>
      </c>
      <c r="D37" s="49" t="s">
        <v>87</v>
      </c>
      <c r="E37" s="49" t="s">
        <v>162</v>
      </c>
      <c r="F37" s="49" t="s">
        <v>88</v>
      </c>
      <c r="G37" s="15" t="s">
        <v>89</v>
      </c>
      <c r="H37" s="17" t="s">
        <v>258</v>
      </c>
      <c r="I37" s="84" t="s">
        <v>161</v>
      </c>
      <c r="J37" s="49" t="s">
        <v>158</v>
      </c>
      <c r="K37" s="49">
        <v>1</v>
      </c>
      <c r="L37" s="49"/>
      <c r="M37" s="70">
        <v>1</v>
      </c>
      <c r="N37" s="70">
        <f t="shared" si="1"/>
        <v>5</v>
      </c>
      <c r="O37" s="104" t="s">
        <v>222</v>
      </c>
      <c r="P37" s="71">
        <v>4.0141</v>
      </c>
      <c r="Q37" s="79">
        <f t="shared" si="2"/>
        <v>4.0141</v>
      </c>
      <c r="R37" s="71">
        <v>4.0141</v>
      </c>
      <c r="S37" s="79">
        <f t="shared" si="0"/>
        <v>20.070499999999999</v>
      </c>
      <c r="T37" s="108"/>
    </row>
    <row r="38" spans="1:20" s="124" customFormat="1" ht="15.75" thickBot="1" x14ac:dyDescent="0.3">
      <c r="A38" s="27">
        <v>36</v>
      </c>
      <c r="B38" s="167"/>
      <c r="C38" s="33" t="s">
        <v>90</v>
      </c>
      <c r="D38" s="51" t="s">
        <v>91</v>
      </c>
      <c r="E38" s="34" t="s">
        <v>92</v>
      </c>
      <c r="F38" s="34" t="s">
        <v>93</v>
      </c>
      <c r="G38" s="35" t="s">
        <v>98</v>
      </c>
      <c r="H38" s="6" t="s">
        <v>158</v>
      </c>
      <c r="I38" s="177" t="s">
        <v>161</v>
      </c>
      <c r="J38" s="34" t="s">
        <v>158</v>
      </c>
      <c r="K38" s="34">
        <v>1</v>
      </c>
      <c r="L38" s="34"/>
      <c r="M38" s="37">
        <v>1</v>
      </c>
      <c r="N38" s="36">
        <f t="shared" si="1"/>
        <v>5</v>
      </c>
      <c r="O38" s="160" t="s">
        <v>336</v>
      </c>
      <c r="P38" s="38">
        <v>1.6</v>
      </c>
      <c r="Q38" s="11">
        <f t="shared" si="2"/>
        <v>1.6</v>
      </c>
      <c r="R38" s="38">
        <v>1.6</v>
      </c>
      <c r="S38" s="11">
        <f t="shared" si="0"/>
        <v>8</v>
      </c>
      <c r="T38" s="106" t="s">
        <v>279</v>
      </c>
    </row>
    <row r="39" spans="1:20" ht="15.75" thickBot="1" x14ac:dyDescent="0.3">
      <c r="A39" s="27">
        <v>37</v>
      </c>
      <c r="B39" s="167"/>
      <c r="C39" s="25" t="s">
        <v>94</v>
      </c>
      <c r="D39" s="50" t="s">
        <v>95</v>
      </c>
      <c r="E39" s="4" t="s">
        <v>190</v>
      </c>
      <c r="F39" s="4" t="s">
        <v>96</v>
      </c>
      <c r="G39" s="3" t="s">
        <v>106</v>
      </c>
      <c r="H39" s="3"/>
      <c r="I39" s="177" t="s">
        <v>161</v>
      </c>
      <c r="J39" s="4" t="s">
        <v>158</v>
      </c>
      <c r="K39" s="4">
        <v>1</v>
      </c>
      <c r="L39" s="4"/>
      <c r="M39" s="6">
        <v>1</v>
      </c>
      <c r="N39" s="5">
        <f t="shared" si="1"/>
        <v>5</v>
      </c>
      <c r="O39" s="160" t="s">
        <v>336</v>
      </c>
      <c r="P39" s="12">
        <v>1.5</v>
      </c>
      <c r="Q39" s="11">
        <f>P39*M39</f>
        <v>1.5</v>
      </c>
      <c r="R39" s="12">
        <v>1.5</v>
      </c>
      <c r="S39" s="11">
        <f t="shared" si="0"/>
        <v>7.5</v>
      </c>
      <c r="T39" s="109" t="s">
        <v>337</v>
      </c>
    </row>
    <row r="40" spans="1:20" ht="15.75" thickBot="1" x14ac:dyDescent="0.3">
      <c r="A40" s="27">
        <v>38</v>
      </c>
      <c r="B40" s="167"/>
      <c r="C40" s="25" t="s">
        <v>191</v>
      </c>
      <c r="D40" s="50" t="s">
        <v>97</v>
      </c>
      <c r="E40" s="4" t="s">
        <v>192</v>
      </c>
      <c r="F40" s="4" t="s">
        <v>193</v>
      </c>
      <c r="G40" s="1" t="s">
        <v>194</v>
      </c>
      <c r="H40" s="6" t="s">
        <v>259</v>
      </c>
      <c r="I40" s="177" t="s">
        <v>161</v>
      </c>
      <c r="J40" s="4" t="s">
        <v>158</v>
      </c>
      <c r="K40" s="4">
        <v>1</v>
      </c>
      <c r="L40" s="4"/>
      <c r="M40" s="6">
        <v>1</v>
      </c>
      <c r="N40" s="5">
        <f t="shared" si="1"/>
        <v>5</v>
      </c>
      <c r="O40" s="1" t="s">
        <v>222</v>
      </c>
      <c r="P40" s="12">
        <v>3.0926999999999998</v>
      </c>
      <c r="Q40" s="11">
        <f t="shared" si="2"/>
        <v>3.0926999999999998</v>
      </c>
      <c r="R40" s="12">
        <v>3.0926999999999998</v>
      </c>
      <c r="S40" s="11">
        <f t="shared" si="0"/>
        <v>15.4635</v>
      </c>
      <c r="T40" s="105"/>
    </row>
    <row r="41" spans="1:20" ht="15.75" thickBot="1" x14ac:dyDescent="0.3">
      <c r="A41" s="27">
        <v>39</v>
      </c>
      <c r="B41" s="167"/>
      <c r="C41" s="33" t="s">
        <v>99</v>
      </c>
      <c r="D41" s="51" t="s">
        <v>100</v>
      </c>
      <c r="E41" s="81" t="s">
        <v>261</v>
      </c>
      <c r="F41" s="34" t="s">
        <v>101</v>
      </c>
      <c r="G41" s="40" t="s">
        <v>102</v>
      </c>
      <c r="H41" s="6" t="s">
        <v>260</v>
      </c>
      <c r="I41" s="177" t="s">
        <v>161</v>
      </c>
      <c r="J41" s="34" t="s">
        <v>158</v>
      </c>
      <c r="K41" s="34">
        <v>1</v>
      </c>
      <c r="L41" s="34"/>
      <c r="M41" s="37">
        <v>1</v>
      </c>
      <c r="N41" s="36">
        <f t="shared" si="1"/>
        <v>5</v>
      </c>
      <c r="O41" s="35" t="s">
        <v>222</v>
      </c>
      <c r="P41" s="38">
        <v>0.76100000000000001</v>
      </c>
      <c r="Q41" s="11">
        <f t="shared" si="2"/>
        <v>0.76100000000000001</v>
      </c>
      <c r="R41" s="38">
        <v>0.76100000000000001</v>
      </c>
      <c r="S41" s="11">
        <f t="shared" si="0"/>
        <v>3.8050000000000002</v>
      </c>
      <c r="T41" s="106"/>
    </row>
    <row r="42" spans="1:20" ht="15.75" thickBot="1" x14ac:dyDescent="0.3">
      <c r="A42" s="27">
        <v>40</v>
      </c>
      <c r="B42" s="167"/>
      <c r="C42" s="25" t="s">
        <v>103</v>
      </c>
      <c r="D42" s="51" t="s">
        <v>311</v>
      </c>
      <c r="E42" s="4" t="s">
        <v>104</v>
      </c>
      <c r="F42" s="4" t="s">
        <v>105</v>
      </c>
      <c r="G42" s="1" t="s">
        <v>98</v>
      </c>
      <c r="H42" s="6" t="s">
        <v>247</v>
      </c>
      <c r="I42" s="177" t="s">
        <v>161</v>
      </c>
      <c r="J42" s="4" t="s">
        <v>158</v>
      </c>
      <c r="K42" s="4">
        <v>1</v>
      </c>
      <c r="L42" s="4"/>
      <c r="M42" s="6">
        <v>3</v>
      </c>
      <c r="N42" s="5">
        <f t="shared" si="1"/>
        <v>15</v>
      </c>
      <c r="O42" s="1" t="s">
        <v>222</v>
      </c>
      <c r="P42" s="12">
        <v>0.2137</v>
      </c>
      <c r="Q42" s="11">
        <f>P42*M42</f>
        <v>0.6411</v>
      </c>
      <c r="R42" s="12">
        <v>0.16619999999999999</v>
      </c>
      <c r="S42" s="11">
        <f t="shared" si="0"/>
        <v>2.4929999999999999</v>
      </c>
      <c r="T42" s="105"/>
    </row>
    <row r="43" spans="1:20" ht="15.75" thickBot="1" x14ac:dyDescent="0.3">
      <c r="A43" s="27">
        <v>41</v>
      </c>
      <c r="B43" s="167"/>
      <c r="C43" s="25" t="s">
        <v>195</v>
      </c>
      <c r="D43" s="51" t="s">
        <v>196</v>
      </c>
      <c r="E43" s="4" t="s">
        <v>197</v>
      </c>
      <c r="F43" s="4" t="s">
        <v>198</v>
      </c>
      <c r="G43" s="35" t="s">
        <v>203</v>
      </c>
      <c r="H43" s="6" t="s">
        <v>262</v>
      </c>
      <c r="I43" s="177" t="s">
        <v>161</v>
      </c>
      <c r="J43" s="34" t="s">
        <v>158</v>
      </c>
      <c r="K43" s="34">
        <v>1</v>
      </c>
      <c r="L43" s="34"/>
      <c r="M43" s="37">
        <v>1</v>
      </c>
      <c r="N43" s="36">
        <f t="shared" si="1"/>
        <v>5</v>
      </c>
      <c r="O43" s="35" t="s">
        <v>222</v>
      </c>
      <c r="P43" s="38">
        <v>0.61140000000000005</v>
      </c>
      <c r="Q43" s="11">
        <f t="shared" si="2"/>
        <v>0.61140000000000005</v>
      </c>
      <c r="R43" s="38">
        <v>0.61140000000000005</v>
      </c>
      <c r="S43" s="11">
        <f t="shared" si="0"/>
        <v>3.0570000000000004</v>
      </c>
      <c r="T43" s="106"/>
    </row>
    <row r="44" spans="1:20" ht="15.75" thickBot="1" x14ac:dyDescent="0.3">
      <c r="A44" s="27">
        <v>42</v>
      </c>
      <c r="B44" s="167"/>
      <c r="C44" s="25" t="s">
        <v>199</v>
      </c>
      <c r="D44" s="51" t="s">
        <v>200</v>
      </c>
      <c r="E44" s="4" t="s">
        <v>201</v>
      </c>
      <c r="F44" s="4" t="s">
        <v>202</v>
      </c>
      <c r="G44" s="1" t="s">
        <v>204</v>
      </c>
      <c r="H44" s="6" t="s">
        <v>158</v>
      </c>
      <c r="I44" s="46" t="s">
        <v>161</v>
      </c>
      <c r="J44" s="4"/>
      <c r="K44" s="4">
        <v>1</v>
      </c>
      <c r="L44" s="4"/>
      <c r="M44" s="6">
        <v>1</v>
      </c>
      <c r="N44" s="5">
        <f t="shared" si="1"/>
        <v>5</v>
      </c>
      <c r="O44" s="111" t="s">
        <v>336</v>
      </c>
      <c r="P44" s="12">
        <v>1</v>
      </c>
      <c r="Q44" s="11">
        <f>P44*K44</f>
        <v>1</v>
      </c>
      <c r="R44" s="12">
        <v>1</v>
      </c>
      <c r="S44" s="11">
        <f t="shared" si="0"/>
        <v>5</v>
      </c>
      <c r="T44" s="106" t="s">
        <v>277</v>
      </c>
    </row>
    <row r="45" spans="1:20" s="124" customFormat="1" ht="15.75" thickBot="1" x14ac:dyDescent="0.3">
      <c r="A45" s="27">
        <v>43</v>
      </c>
      <c r="B45" s="168"/>
      <c r="C45" s="26" t="s">
        <v>199</v>
      </c>
      <c r="D45" s="52" t="s">
        <v>107</v>
      </c>
      <c r="E45" s="8" t="s">
        <v>209</v>
      </c>
      <c r="F45" s="8" t="s">
        <v>108</v>
      </c>
      <c r="G45" s="123" t="s">
        <v>156</v>
      </c>
      <c r="H45" s="9" t="s">
        <v>158</v>
      </c>
      <c r="I45" s="47" t="s">
        <v>161</v>
      </c>
      <c r="J45" s="8" t="s">
        <v>158</v>
      </c>
      <c r="K45" s="8">
        <v>1</v>
      </c>
      <c r="L45" s="8"/>
      <c r="M45" s="9">
        <v>1</v>
      </c>
      <c r="N45" s="10">
        <f t="shared" si="1"/>
        <v>5</v>
      </c>
      <c r="O45" s="160" t="s">
        <v>336</v>
      </c>
      <c r="P45" s="13">
        <v>9.3000000000000007</v>
      </c>
      <c r="Q45" s="85">
        <f t="shared" si="2"/>
        <v>9.3000000000000007</v>
      </c>
      <c r="R45" s="13">
        <v>9.3000000000000007</v>
      </c>
      <c r="S45" s="80">
        <f t="shared" si="0"/>
        <v>46.5</v>
      </c>
      <c r="T45" s="106" t="s">
        <v>279</v>
      </c>
    </row>
    <row r="46" spans="1:20" ht="15.75" thickBot="1" x14ac:dyDescent="0.3">
      <c r="A46" s="27">
        <v>44</v>
      </c>
      <c r="B46" s="166" t="s">
        <v>109</v>
      </c>
      <c r="C46" s="24" t="s">
        <v>205</v>
      </c>
      <c r="D46" s="49" t="s">
        <v>301</v>
      </c>
      <c r="E46" s="14" t="s">
        <v>162</v>
      </c>
      <c r="F46" s="14" t="s">
        <v>110</v>
      </c>
      <c r="G46" s="15" t="s">
        <v>111</v>
      </c>
      <c r="H46" s="78" t="s">
        <v>241</v>
      </c>
      <c r="I46" s="45" t="s">
        <v>161</v>
      </c>
      <c r="J46" s="14" t="s">
        <v>158</v>
      </c>
      <c r="K46" s="16">
        <v>20</v>
      </c>
      <c r="L46" s="16"/>
      <c r="M46" s="17">
        <v>8</v>
      </c>
      <c r="N46" s="16">
        <f t="shared" ref="N46:N59" si="3">M46*5</f>
        <v>40</v>
      </c>
      <c r="O46" s="15" t="s">
        <v>222</v>
      </c>
      <c r="P46" s="18">
        <v>3.1E-2</v>
      </c>
      <c r="Q46" s="79">
        <f t="shared" si="2"/>
        <v>0.62</v>
      </c>
      <c r="R46" s="18">
        <v>3.1E-2</v>
      </c>
      <c r="S46" s="79">
        <f t="shared" si="0"/>
        <v>1.24</v>
      </c>
      <c r="T46" s="110"/>
    </row>
    <row r="47" spans="1:20" ht="15.75" thickBot="1" x14ac:dyDescent="0.3">
      <c r="A47" s="27">
        <v>45</v>
      </c>
      <c r="B47" s="167"/>
      <c r="C47" s="25" t="s">
        <v>112</v>
      </c>
      <c r="D47" s="50" t="s">
        <v>113</v>
      </c>
      <c r="E47" s="4" t="s">
        <v>162</v>
      </c>
      <c r="F47" s="4" t="s">
        <v>114</v>
      </c>
      <c r="G47" s="1" t="s">
        <v>111</v>
      </c>
      <c r="H47" s="73" t="s">
        <v>242</v>
      </c>
      <c r="I47" s="46" t="s">
        <v>161</v>
      </c>
      <c r="J47" s="4" t="s">
        <v>158</v>
      </c>
      <c r="K47" s="5">
        <v>1</v>
      </c>
      <c r="L47" s="5"/>
      <c r="M47" s="6">
        <v>3</v>
      </c>
      <c r="N47" s="5">
        <f t="shared" si="3"/>
        <v>15</v>
      </c>
      <c r="O47" s="1" t="s">
        <v>222</v>
      </c>
      <c r="P47" s="12">
        <v>0.1608</v>
      </c>
      <c r="Q47" s="11">
        <f>P47*M47</f>
        <v>0.4824</v>
      </c>
      <c r="R47" s="12">
        <v>0.12540000000000001</v>
      </c>
      <c r="S47" s="11">
        <f t="shared" si="0"/>
        <v>1.8810000000000002</v>
      </c>
      <c r="T47" s="105"/>
    </row>
    <row r="48" spans="1:20" ht="15.75" thickBot="1" x14ac:dyDescent="0.3">
      <c r="A48" s="27">
        <v>46</v>
      </c>
      <c r="B48" s="167"/>
      <c r="C48" s="25" t="s">
        <v>115</v>
      </c>
      <c r="D48" s="50" t="s">
        <v>206</v>
      </c>
      <c r="E48" s="4" t="s">
        <v>162</v>
      </c>
      <c r="F48" s="4" t="s">
        <v>116</v>
      </c>
      <c r="G48" s="1" t="s">
        <v>111</v>
      </c>
      <c r="H48" s="6" t="s">
        <v>243</v>
      </c>
      <c r="I48" s="46" t="s">
        <v>161</v>
      </c>
      <c r="J48" s="4" t="s">
        <v>158</v>
      </c>
      <c r="K48" s="5">
        <v>10</v>
      </c>
      <c r="L48" s="5"/>
      <c r="M48" s="6">
        <v>5</v>
      </c>
      <c r="N48" s="5">
        <v>30</v>
      </c>
      <c r="O48" s="1" t="s">
        <v>246</v>
      </c>
      <c r="P48" s="12">
        <v>4.53E-2</v>
      </c>
      <c r="Q48" s="11">
        <f t="shared" si="2"/>
        <v>0.45300000000000001</v>
      </c>
      <c r="R48" s="12">
        <v>4.53E-2</v>
      </c>
      <c r="S48" s="11">
        <f t="shared" si="0"/>
        <v>1.359</v>
      </c>
      <c r="T48" s="105"/>
    </row>
    <row r="49" spans="1:20" ht="15.75" thickBot="1" x14ac:dyDescent="0.3">
      <c r="A49" s="27">
        <v>47</v>
      </c>
      <c r="B49" s="167"/>
      <c r="C49" s="25" t="s">
        <v>117</v>
      </c>
      <c r="D49" s="50" t="s">
        <v>118</v>
      </c>
      <c r="E49" s="4" t="s">
        <v>162</v>
      </c>
      <c r="F49" s="4" t="s">
        <v>119</v>
      </c>
      <c r="G49" s="1" t="s">
        <v>111</v>
      </c>
      <c r="H49" s="73" t="s">
        <v>244</v>
      </c>
      <c r="I49" s="46" t="s">
        <v>161</v>
      </c>
      <c r="J49" s="4" t="s">
        <v>158</v>
      </c>
      <c r="K49" s="5">
        <v>5</v>
      </c>
      <c r="L49" s="5"/>
      <c r="M49" s="6">
        <v>2</v>
      </c>
      <c r="N49" s="5">
        <f t="shared" si="3"/>
        <v>10</v>
      </c>
      <c r="O49" s="1" t="s">
        <v>222</v>
      </c>
      <c r="P49" s="12">
        <v>0.1099</v>
      </c>
      <c r="Q49" s="11">
        <f>P49*K49</f>
        <v>0.54949999999999999</v>
      </c>
      <c r="R49" s="12">
        <v>0.1099</v>
      </c>
      <c r="S49" s="11">
        <f t="shared" si="0"/>
        <v>1.099</v>
      </c>
      <c r="T49" s="105"/>
    </row>
    <row r="50" spans="1:20" ht="15.75" thickBot="1" x14ac:dyDescent="0.3">
      <c r="A50" s="27">
        <v>48</v>
      </c>
      <c r="B50" s="167"/>
      <c r="C50" s="25" t="s">
        <v>120</v>
      </c>
      <c r="D50" s="50" t="s">
        <v>121</v>
      </c>
      <c r="E50" s="4" t="s">
        <v>162</v>
      </c>
      <c r="F50" s="4" t="s">
        <v>122</v>
      </c>
      <c r="G50" s="2" t="s">
        <v>123</v>
      </c>
      <c r="H50" s="6" t="s">
        <v>245</v>
      </c>
      <c r="I50" s="46" t="s">
        <v>161</v>
      </c>
      <c r="J50" s="4" t="s">
        <v>158</v>
      </c>
      <c r="K50" s="5">
        <v>1</v>
      </c>
      <c r="L50" s="5"/>
      <c r="M50" s="6">
        <v>1</v>
      </c>
      <c r="N50" s="5">
        <f t="shared" si="3"/>
        <v>5</v>
      </c>
      <c r="O50" s="1" t="s">
        <v>222</v>
      </c>
      <c r="P50" s="12">
        <v>3.1720000000000002</v>
      </c>
      <c r="Q50" s="80">
        <f t="shared" si="2"/>
        <v>3.1720000000000002</v>
      </c>
      <c r="R50" s="12">
        <v>3.1720000000000002</v>
      </c>
      <c r="S50" s="80">
        <f t="shared" si="0"/>
        <v>15.860000000000001</v>
      </c>
      <c r="T50" s="105"/>
    </row>
    <row r="51" spans="1:20" ht="15.75" thickBot="1" x14ac:dyDescent="0.3">
      <c r="A51" s="27">
        <v>49</v>
      </c>
      <c r="B51" s="169"/>
      <c r="C51" s="68" t="s">
        <v>210</v>
      </c>
      <c r="D51" s="62" t="s">
        <v>211</v>
      </c>
      <c r="E51" s="62" t="s">
        <v>162</v>
      </c>
      <c r="F51" s="63" t="s">
        <v>212</v>
      </c>
      <c r="G51" s="64" t="s">
        <v>163</v>
      </c>
      <c r="H51" s="64"/>
      <c r="I51" s="64" t="s">
        <v>163</v>
      </c>
      <c r="J51" s="64" t="s">
        <v>316</v>
      </c>
      <c r="K51" s="64"/>
      <c r="L51" s="64"/>
      <c r="M51" s="65">
        <v>1</v>
      </c>
      <c r="N51" s="65">
        <f t="shared" si="3"/>
        <v>5</v>
      </c>
      <c r="O51" s="64" t="s">
        <v>163</v>
      </c>
      <c r="P51" s="66" t="s">
        <v>163</v>
      </c>
      <c r="Q51" s="66" t="s">
        <v>163</v>
      </c>
      <c r="R51" s="66" t="s">
        <v>163</v>
      </c>
      <c r="S51" s="66" t="s">
        <v>163</v>
      </c>
      <c r="T51" s="67" t="s">
        <v>164</v>
      </c>
    </row>
    <row r="52" spans="1:20" ht="15.75" thickBot="1" x14ac:dyDescent="0.3">
      <c r="A52" s="27">
        <v>50</v>
      </c>
      <c r="B52" s="168"/>
      <c r="C52" s="55" t="s">
        <v>124</v>
      </c>
      <c r="D52" s="56" t="s">
        <v>302</v>
      </c>
      <c r="E52" s="56" t="s">
        <v>162</v>
      </c>
      <c r="F52" s="57" t="s">
        <v>143</v>
      </c>
      <c r="G52" s="58" t="s">
        <v>163</v>
      </c>
      <c r="H52" s="58"/>
      <c r="I52" s="58" t="s">
        <v>163</v>
      </c>
      <c r="J52" s="58" t="s">
        <v>317</v>
      </c>
      <c r="K52" s="58"/>
      <c r="L52" s="58"/>
      <c r="M52" s="59">
        <v>4</v>
      </c>
      <c r="N52" s="59">
        <f t="shared" si="3"/>
        <v>20</v>
      </c>
      <c r="O52" s="58" t="s">
        <v>163</v>
      </c>
      <c r="P52" s="60" t="s">
        <v>163</v>
      </c>
      <c r="Q52" s="60" t="s">
        <v>163</v>
      </c>
      <c r="R52" s="60" t="s">
        <v>163</v>
      </c>
      <c r="S52" s="60" t="s">
        <v>163</v>
      </c>
      <c r="T52" s="61" t="s">
        <v>164</v>
      </c>
    </row>
    <row r="53" spans="1:20" ht="19.5" customHeight="1" thickBot="1" x14ac:dyDescent="0.3">
      <c r="A53" s="127">
        <v>51</v>
      </c>
      <c r="B53" s="174" t="s">
        <v>347</v>
      </c>
      <c r="C53" s="146" t="s">
        <v>325</v>
      </c>
      <c r="D53" s="147"/>
      <c r="E53" s="14" t="s">
        <v>162</v>
      </c>
      <c r="F53" s="14" t="s">
        <v>326</v>
      </c>
      <c r="G53" s="148"/>
      <c r="H53" s="148"/>
      <c r="I53" s="148"/>
      <c r="J53" s="148"/>
      <c r="K53" s="148"/>
      <c r="L53" s="179"/>
      <c r="M53" s="149">
        <v>2</v>
      </c>
      <c r="N53" s="150">
        <f t="shared" si="3"/>
        <v>10</v>
      </c>
      <c r="O53" s="118" t="s">
        <v>338</v>
      </c>
      <c r="P53" s="148"/>
      <c r="Q53" s="148"/>
      <c r="R53" s="148"/>
      <c r="S53" s="148"/>
      <c r="T53" s="151"/>
    </row>
    <row r="54" spans="1:20" ht="26.25" thickBot="1" x14ac:dyDescent="0.3">
      <c r="A54" s="127">
        <v>52</v>
      </c>
      <c r="B54" s="175"/>
      <c r="C54" s="129" t="s">
        <v>327</v>
      </c>
      <c r="D54" s="128"/>
      <c r="E54" s="4" t="s">
        <v>162</v>
      </c>
      <c r="F54" s="4" t="s">
        <v>328</v>
      </c>
      <c r="G54" s="128"/>
      <c r="H54" s="128"/>
      <c r="I54" s="128"/>
      <c r="J54" s="128"/>
      <c r="K54" s="128"/>
      <c r="L54" s="128"/>
      <c r="M54" s="130">
        <v>2</v>
      </c>
      <c r="N54" s="158">
        <f t="shared" si="3"/>
        <v>10</v>
      </c>
      <c r="O54" s="111" t="s">
        <v>338</v>
      </c>
      <c r="P54" s="128"/>
      <c r="Q54" s="128"/>
      <c r="R54" s="128"/>
      <c r="S54" s="128"/>
      <c r="T54" s="152"/>
    </row>
    <row r="55" spans="1:20" ht="26.25" thickBot="1" x14ac:dyDescent="0.3">
      <c r="A55" s="127">
        <v>53</v>
      </c>
      <c r="B55" s="175"/>
      <c r="C55" s="129" t="s">
        <v>344</v>
      </c>
      <c r="D55" s="128"/>
      <c r="E55" s="4" t="s">
        <v>162</v>
      </c>
      <c r="F55" s="4" t="s">
        <v>339</v>
      </c>
      <c r="G55" s="128"/>
      <c r="H55" s="128"/>
      <c r="I55" s="128"/>
      <c r="J55" s="128"/>
      <c r="K55" s="128"/>
      <c r="L55" s="128"/>
      <c r="M55" s="130">
        <v>1</v>
      </c>
      <c r="N55" s="158">
        <f t="shared" si="3"/>
        <v>5</v>
      </c>
      <c r="O55" s="111" t="s">
        <v>338</v>
      </c>
      <c r="P55" s="128"/>
      <c r="Q55" s="128"/>
      <c r="R55" s="128"/>
      <c r="S55" s="128"/>
      <c r="T55" s="152"/>
    </row>
    <row r="56" spans="1:20" ht="15.75" thickBot="1" x14ac:dyDescent="0.3">
      <c r="A56" s="127">
        <v>54</v>
      </c>
      <c r="B56" s="175"/>
      <c r="C56" s="129" t="s">
        <v>343</v>
      </c>
      <c r="D56" s="128"/>
      <c r="E56" s="4" t="s">
        <v>162</v>
      </c>
      <c r="F56" s="4" t="s">
        <v>340</v>
      </c>
      <c r="G56" s="128"/>
      <c r="H56" s="128"/>
      <c r="I56" s="128"/>
      <c r="J56" s="128"/>
      <c r="K56" s="128"/>
      <c r="L56" s="128"/>
      <c r="M56" s="130">
        <v>1</v>
      </c>
      <c r="N56" s="158">
        <f t="shared" si="3"/>
        <v>5</v>
      </c>
      <c r="O56" s="111"/>
      <c r="P56" s="128"/>
      <c r="Q56" s="128"/>
      <c r="R56" s="128"/>
      <c r="S56" s="128"/>
      <c r="T56" s="152"/>
    </row>
    <row r="57" spans="1:20" ht="15.75" thickBot="1" x14ac:dyDescent="0.3">
      <c r="A57" s="127">
        <v>55</v>
      </c>
      <c r="B57" s="175"/>
      <c r="C57" s="129" t="s">
        <v>342</v>
      </c>
      <c r="D57" s="128"/>
      <c r="E57" s="4" t="s">
        <v>162</v>
      </c>
      <c r="F57" s="4" t="s">
        <v>341</v>
      </c>
      <c r="G57" s="128"/>
      <c r="H57" s="128"/>
      <c r="I57" s="128"/>
      <c r="J57" s="128"/>
      <c r="K57" s="128"/>
      <c r="L57" s="128"/>
      <c r="M57" s="130">
        <v>1</v>
      </c>
      <c r="N57" s="158">
        <f t="shared" si="3"/>
        <v>5</v>
      </c>
      <c r="O57" s="111" t="s">
        <v>338</v>
      </c>
      <c r="P57" s="128"/>
      <c r="Q57" s="128"/>
      <c r="R57" s="128"/>
      <c r="S57" s="128"/>
      <c r="T57" s="152"/>
    </row>
    <row r="58" spans="1:20" ht="15.75" thickBot="1" x14ac:dyDescent="0.3">
      <c r="A58" s="127">
        <v>56</v>
      </c>
      <c r="B58" s="175"/>
      <c r="C58" s="128"/>
      <c r="D58" s="128"/>
      <c r="E58" s="4" t="s">
        <v>162</v>
      </c>
      <c r="F58" s="130" t="s">
        <v>329</v>
      </c>
      <c r="G58" s="128"/>
      <c r="H58" s="128"/>
      <c r="I58" s="128"/>
      <c r="J58" s="128"/>
      <c r="K58" s="128"/>
      <c r="L58" s="128"/>
      <c r="M58" s="130">
        <v>1</v>
      </c>
      <c r="N58" s="158">
        <f t="shared" si="3"/>
        <v>5</v>
      </c>
      <c r="O58" s="128"/>
      <c r="P58" s="128"/>
      <c r="Q58" s="128"/>
      <c r="R58" s="128"/>
      <c r="S58" s="128"/>
      <c r="T58" s="152"/>
    </row>
    <row r="59" spans="1:20" ht="30.75" thickBot="1" x14ac:dyDescent="0.3">
      <c r="A59" s="127">
        <v>57</v>
      </c>
      <c r="B59" s="176"/>
      <c r="C59" s="159" t="s">
        <v>335</v>
      </c>
      <c r="D59" s="153"/>
      <c r="E59" s="4" t="s">
        <v>162</v>
      </c>
      <c r="F59" s="154" t="s">
        <v>330</v>
      </c>
      <c r="G59" s="153"/>
      <c r="H59" s="153"/>
      <c r="I59" s="153"/>
      <c r="J59" s="153"/>
      <c r="K59" s="153"/>
      <c r="L59" s="180"/>
      <c r="M59" s="155">
        <v>2</v>
      </c>
      <c r="N59" s="156">
        <f t="shared" si="3"/>
        <v>10</v>
      </c>
      <c r="O59" s="116" t="s">
        <v>338</v>
      </c>
      <c r="P59" s="153"/>
      <c r="Q59" s="153"/>
      <c r="R59" s="153"/>
      <c r="S59" s="153"/>
      <c r="T59" s="157"/>
    </row>
    <row r="60" spans="1:20" ht="19.5" thickBot="1" x14ac:dyDescent="0.35">
      <c r="M60" s="164" t="s">
        <v>159</v>
      </c>
      <c r="N60" s="164"/>
      <c r="O60" s="164"/>
      <c r="P60" s="164"/>
      <c r="Q60" s="28"/>
      <c r="R60" s="29"/>
      <c r="S60" s="30">
        <f>SUM(S3:S59)</f>
        <v>184.4162</v>
      </c>
    </row>
    <row r="61" spans="1:20" ht="18.75" x14ac:dyDescent="0.3">
      <c r="M61" s="165" t="s">
        <v>160</v>
      </c>
      <c r="N61" s="165"/>
      <c r="O61" s="165"/>
      <c r="P61" s="165"/>
      <c r="Q61" s="31">
        <f>SUM(Q3:Q60)</f>
        <v>48.896200000000007</v>
      </c>
      <c r="R61" s="32"/>
      <c r="S61" s="31">
        <f>S60/5</f>
        <v>36.883240000000001</v>
      </c>
    </row>
  </sheetData>
  <mergeCells count="12">
    <mergeCell ref="A1:T1"/>
    <mergeCell ref="M60:P60"/>
    <mergeCell ref="M61:P61"/>
    <mergeCell ref="B37:B45"/>
    <mergeCell ref="B46:B52"/>
    <mergeCell ref="B18:B19"/>
    <mergeCell ref="B20:B22"/>
    <mergeCell ref="B23:B35"/>
    <mergeCell ref="B11:B14"/>
    <mergeCell ref="B15:B17"/>
    <mergeCell ref="B3:B10"/>
    <mergeCell ref="B53:B59"/>
  </mergeCells>
  <phoneticPr fontId="17" type="noConversion"/>
  <conditionalFormatting sqref="Q61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S60:S6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T52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M3:N50 M52:N59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1:N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Q3:Q50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S3:S50">
    <cfRule type="dataBar" priority="4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5" r:id="rId3" display="https://lcsc.com/brand-detail/392.html"/>
    <hyperlink ref="G6" r:id="rId4" display="https://lcsc.com/brand-detail/254.html"/>
    <hyperlink ref="G7" r:id="rId5" display="https://lcsc.com/brand-detail/994.html"/>
    <hyperlink ref="G12" r:id="rId6" display="https://lcsc.com/brand-detail/296.html"/>
    <hyperlink ref="G22" r:id="rId7" display="https://lcsc.com/brand-detail/94.html"/>
    <hyperlink ref="G24" r:id="rId8" display="https://lcsc.com/brand-detail/396.html"/>
    <hyperlink ref="G41" r:id="rId9" display="https://lcsc.com/brand-detail/756.html"/>
    <hyperlink ref="G42" r:id="rId10" display="https://lcsc.com/brand-detail/100.html"/>
    <hyperlink ref="G47:G49" r:id="rId11" display="https://lcsc.com/brand-detail/853.html"/>
    <hyperlink ref="G50" r:id="rId12" display="https://lcsc.com/brand-detail/109.html"/>
    <hyperlink ref="G8" r:id="rId13" display="https://lcsc.com/brand-detail/994.html"/>
    <hyperlink ref="G11" r:id="rId14" display="https://www.digikey.com/en/supplier-centers/central-semiconductor"/>
    <hyperlink ref="G13" r:id="rId15" display="https://www.digikey.com/en/supplier-centers/sunled"/>
    <hyperlink ref="G18" r:id="rId16" display="https://www.digikey.com/en/supplier-centers/wurth-electronics"/>
    <hyperlink ref="G20" r:id="rId17" display="https://lcsc.com/brand-detail/296.html"/>
    <hyperlink ref="G19" r:id="rId18" display="https://www.digikey.com/en/supplier-centers/tdk"/>
    <hyperlink ref="G23" r:id="rId19" display="https://www.digikey.com/en/supplier-centers/te-connectivity-amp"/>
    <hyperlink ref="G28" r:id="rId20" display="https://www.digikey.com/en/supplier-centers/rohm-semi"/>
    <hyperlink ref="G29" r:id="rId21" display="https://www.digikey.com/en/supplier-centers/panasonic"/>
    <hyperlink ref="G30" r:id="rId22" display="https://www.digikey.com/en/supplier-centers/vishay-dale"/>
    <hyperlink ref="G31" r:id="rId23" display="https://www.digikey.com/en/supplier-centers/vishay-dale"/>
    <hyperlink ref="G33" r:id="rId24" display="https://www.digikey.com/en/supplier-centers/vishay-dale"/>
    <hyperlink ref="G34" r:id="rId25" display="https://www.digikey.com/en/supplier-centers/yageo"/>
    <hyperlink ref="G35" r:id="rId26" display="https://www.digikey.com/en/supplier-centers/stackpole-electronics"/>
    <hyperlink ref="G38" r:id="rId27" display="https://www.digikey.com/en/supplier-centers/texas-instruments"/>
    <hyperlink ref="G39" r:id="rId28" display="https://www.digikey.com/en/supplier-centers/stmicroelectronics"/>
    <hyperlink ref="G46" r:id="rId29" display="https://lcsc.com/brand-detail/853.html"/>
    <hyperlink ref="G45" r:id="rId30" display="https://www.digikey.com/en/supplier-centers/analog-devices"/>
    <hyperlink ref="G26" r:id="rId31" display="https://lcsc.com/brand-detail/396.html"/>
    <hyperlink ref="G27" r:id="rId32" display="https://www.digikey.com/en/supplier-centers/te-connectivity-amp"/>
    <hyperlink ref="G37" r:id="rId33" display="https://lcsc.com/brand-detail/877.html"/>
    <hyperlink ref="O5" r:id="rId34"/>
    <hyperlink ref="O7" r:id="rId35"/>
    <hyperlink ref="O6" r:id="rId36"/>
    <hyperlink ref="O3" r:id="rId37"/>
    <hyperlink ref="O4" r:id="rId38"/>
    <hyperlink ref="O8" r:id="rId39"/>
    <hyperlink ref="O12" r:id="rId40"/>
    <hyperlink ref="O13" r:id="rId41"/>
    <hyperlink ref="O19" r:id="rId42"/>
    <hyperlink ref="O20" r:id="rId43"/>
    <hyperlink ref="O22" r:id="rId44"/>
    <hyperlink ref="O24" r:id="rId45"/>
    <hyperlink ref="O23" r:id="rId46"/>
    <hyperlink ref="O30" r:id="rId47"/>
    <hyperlink ref="O31" r:id="rId48"/>
    <hyperlink ref="O33" r:id="rId49"/>
    <hyperlink ref="O34" r:id="rId50"/>
    <hyperlink ref="O35" r:id="rId51"/>
    <hyperlink ref="O46" r:id="rId52"/>
    <hyperlink ref="O47" r:id="rId53"/>
    <hyperlink ref="O48" r:id="rId54"/>
    <hyperlink ref="O50" r:id="rId55"/>
    <hyperlink ref="O49" r:id="rId56"/>
    <hyperlink ref="O42" r:id="rId57"/>
    <hyperlink ref="O21" r:id="rId58"/>
    <hyperlink ref="O26" r:id="rId59"/>
    <hyperlink ref="O28" r:id="rId60"/>
    <hyperlink ref="O29" r:id="rId61"/>
    <hyperlink ref="O27" r:id="rId62"/>
    <hyperlink ref="O32" r:id="rId63"/>
    <hyperlink ref="O36" r:id="rId64"/>
    <hyperlink ref="O37" r:id="rId65"/>
    <hyperlink ref="O40" r:id="rId66"/>
    <hyperlink ref="O41" r:id="rId67"/>
    <hyperlink ref="O43" r:id="rId68"/>
    <hyperlink ref="O9" r:id="rId69"/>
    <hyperlink ref="O11" r:id="rId70"/>
    <hyperlink ref="O14" r:id="rId71"/>
    <hyperlink ref="O15" r:id="rId72"/>
    <hyperlink ref="O16" r:id="rId73"/>
    <hyperlink ref="O17" r:id="rId74"/>
    <hyperlink ref="O10" r:id="rId75"/>
    <hyperlink ref="G25" r:id="rId76" display="https://lcsc.com/brand-detail/396.html"/>
    <hyperlink ref="O25" r:id="rId77"/>
    <hyperlink ref="O53" r:id="rId78"/>
    <hyperlink ref="O59" r:id="rId79"/>
    <hyperlink ref="O54" r:id="rId80" location="customerReviews"/>
    <hyperlink ref="O55" r:id="rId81"/>
    <hyperlink ref="O57" r:id="rId82"/>
  </hyperlinks>
  <pageMargins left="0.7" right="0.7" top="0.75" bottom="0.75" header="0.3" footer="0.3"/>
  <pageSetup orientation="portrait" r:id="rId8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Q61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S60:S61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T52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T51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Q3:Q50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S3:S50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2021-04-15T08:46:21Z</dcterms:created>
  <dcterms:modified xsi:type="dcterms:W3CDTF">2021-12-30T16:17:35Z</dcterms:modified>
</cp:coreProperties>
</file>