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25" windowHeight="97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<sst xmlns="http://schemas.openxmlformats.org/spreadsheetml/2006/main" count="46" uniqueCount="41">
  <si>
    <t>Bill of Material (BOM) for  LED 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</si>
  <si>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</si>
  <si>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</si>
  <si>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</si>
  <si>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</si>
  <si>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</si>
  <si>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</si>
  <si>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</si>
  <si>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</si>
  <si>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</si>
  <si>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</si>
  <si>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</si>
  <si>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</si>
  <si>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</si>
  <si>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</si>
  <si>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</si>
  <si>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</si>
  <si>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</si>
  <si>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LED</t>
  </si>
  <si>
    <t>SMD,3.5x3.5mm Light Emitting Diodes (LED) RoHS</t>
  </si>
  <si>
    <t>LED0, LED1, LED2, LED3, LED4, LED5, LED6, LED7, LED8, LED9, LED10, LED11, LED12, LED13</t>
  </si>
  <si>
    <t>-</t>
  </si>
  <si>
    <t>WS2812B-Mini</t>
  </si>
  <si>
    <t>Worldsemi</t>
  </si>
  <si>
    <t>---------------</t>
  </si>
  <si>
    <t>Custom Supplier</t>
  </si>
  <si>
    <t>Connector</t>
  </si>
  <si>
    <t>3 POS 2.54mm spacer header</t>
  </si>
  <si>
    <t>J1</t>
  </si>
  <si>
    <t>E-SIMPO</t>
  </si>
  <si>
    <t>Capacitor</t>
  </si>
  <si>
    <t>Cap Ceramic 0.1uF 10V X5R 10% SMD 0201 85C Paper T/R</t>
  </si>
  <si>
    <t>C1, C2, C3, C4, C5, C6, C7, C8, C9, C10, C11, C12, C13, C14</t>
  </si>
  <si>
    <t>CAP 0201</t>
  </si>
  <si>
    <t>CC0201KRX5R6BB104</t>
  </si>
  <si>
    <t>Yageo</t>
  </si>
  <si>
    <t>-------------</t>
  </si>
  <si>
    <t>0.1uF</t>
  </si>
  <si>
    <t>Digikey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</si>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</sst>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&quot;$&quot;#,##0.00"/>
    <numFmt numFmtId="42" formatCode="_(&quot;$&quot;* #,##0_);_(&quot;$&quot;* \(#,##0\);_(&quot;$&quot;* &quot;-&quot;_);_(@_)"/>
    <numFmt numFmtId="178" formatCode="_ * #,##0_ ;_ * \-#,##0_ ;_ * &quot;-&quot;_ ;_ @_ "/>
    <numFmt numFmtId="179" formatCode="&quot;$&quot;#,##0.0000"/>
  </numFmts>
  <fonts count="28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4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9" fillId="6" borderId="0" applyNumberFormat="0" applyBorder="0" applyAlignment="0" applyProtection="0">
      <alignment vertical="center"/>
    </xf>
    <xf numFmtId="176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/>
    <xf numFmtId="0" fontId="13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5" borderId="16" applyNumberFormat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1" fillId="7" borderId="17" applyNumberFormat="0" applyFont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16" borderId="20" applyNumberFormat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9" borderId="21" applyNumberFormat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25" fillId="19" borderId="20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3" fillId="0" borderId="22" applyNumberFormat="0" applyFill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10" xfId="0" applyBorder="1" applyAlignment="1">
      <alignment horizontal="left" vertical="center" wrapText="1"/>
    </xf>
    <xf numFmtId="0" fontId="0" fillId="0" borderId="10" xfId="0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7" fillId="0" borderId="5" xfId="7" applyBorder="1" applyAlignment="1" applyProtection="1">
      <alignment horizontal="center" vertical="center"/>
    </xf>
    <xf numFmtId="179" fontId="5" fillId="0" borderId="5" xfId="0" applyNumberFormat="1" applyFont="1" applyBorder="1" applyAlignment="1">
      <alignment horizontal="center" vertical="center"/>
    </xf>
    <xf numFmtId="177" fontId="5" fillId="0" borderId="5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79" fontId="5" fillId="0" borderId="7" xfId="0" applyNumberFormat="1" applyFont="1" applyBorder="1" applyAlignment="1">
      <alignment horizontal="center" vertical="center"/>
    </xf>
    <xf numFmtId="177" fontId="5" fillId="0" borderId="7" xfId="0" applyNumberFormat="1" applyFont="1" applyBorder="1" applyAlignment="1">
      <alignment horizontal="center" vertical="center"/>
    </xf>
    <xf numFmtId="0" fontId="7" fillId="0" borderId="10" xfId="7" applyBorder="1" applyAlignment="1" applyProtection="1">
      <alignment horizontal="center" vertical="center"/>
    </xf>
    <xf numFmtId="179" fontId="5" fillId="0" borderId="10" xfId="0" applyNumberFormat="1" applyFont="1" applyBorder="1" applyAlignment="1">
      <alignment horizontal="center" vertical="center"/>
    </xf>
    <xf numFmtId="177" fontId="5" fillId="0" borderId="10" xfId="0" applyNumberFormat="1" applyFont="1" applyBorder="1" applyAlignment="1">
      <alignment horizontal="center" vertical="center"/>
    </xf>
    <xf numFmtId="0" fontId="8" fillId="3" borderId="11" xfId="0" applyFont="1" applyFill="1" applyBorder="1" applyAlignment="1">
      <alignment horizontal="center" wrapText="1"/>
    </xf>
    <xf numFmtId="177" fontId="0" fillId="0" borderId="0" xfId="0" applyNumberFormat="1"/>
    <xf numFmtId="0" fontId="8" fillId="3" borderId="0" xfId="0" applyFont="1" applyFill="1" applyAlignment="1">
      <alignment horizontal="center" wrapText="1"/>
    </xf>
    <xf numFmtId="179" fontId="0" fillId="0" borderId="0" xfId="0" applyNumberFormat="1"/>
    <xf numFmtId="0" fontId="1" fillId="2" borderId="12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0" fillId="0" borderId="5" xfId="0" applyBorder="1" applyAlignment="1" quotePrefix="1">
      <alignment horizontal="center" vertical="center"/>
    </xf>
    <xf numFmtId="0" fontId="0" fillId="0" borderId="5" xfId="0" applyBorder="1" applyAlignment="1" quotePrefix="1">
      <alignment horizontal="center" vertical="center" wrapText="1"/>
    </xf>
    <xf numFmtId="0" fontId="5" fillId="0" borderId="5" xfId="0" applyFont="1" applyBorder="1" applyAlignment="1" quotePrefix="1">
      <alignment horizontal="center" vertical="center"/>
    </xf>
    <xf numFmtId="0" fontId="0" fillId="0" borderId="7" xfId="0" applyBorder="1" applyAlignment="1" quotePrefix="1">
      <alignment horizontal="center" vertical="center"/>
    </xf>
    <xf numFmtId="0" fontId="5" fillId="0" borderId="7" xfId="0" applyFont="1" applyBorder="1" applyAlignment="1" quotePrefix="1">
      <alignment horizontal="center" vertical="center"/>
    </xf>
    <xf numFmtId="0" fontId="6" fillId="0" borderId="7" xfId="0" applyFont="1" applyBorder="1" applyAlignment="1" quotePrefix="1">
      <alignment horizontal="center" vertical="center"/>
    </xf>
    <xf numFmtId="0" fontId="0" fillId="0" borderId="10" xfId="0" applyBorder="1" applyAlignment="1" quotePrefix="1">
      <alignment horizontal="left" vertical="center" wrapText="1"/>
    </xf>
    <xf numFmtId="0" fontId="0" fillId="0" borderId="10" xfId="0" applyBorder="1" applyAlignment="1" quotePrefix="1">
      <alignment horizontal="center" vertical="center" wrapText="1"/>
    </xf>
    <xf numFmtId="0" fontId="6" fillId="3" borderId="10" xfId="0" applyFont="1" applyFill="1" applyBorder="1" applyAlignment="1" quotePrefix="1">
      <alignment horizontal="center" vertical="center"/>
    </xf>
    <xf numFmtId="0" fontId="0" fillId="0" borderId="10" xfId="0" applyBorder="1" applyAlignment="1" quotePrefix="1">
      <alignment horizontal="center" vertical="center"/>
    </xf>
    <xf numFmtId="0" fontId="5" fillId="0" borderId="10" xfId="0" applyFont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igikey.com/en/products/detail/yageo/RC0402FR-07200RL/2827569?s=N4IgTCBcDaIEoGEAMAWJYBicC0SDsYSScAMi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tabSelected="1" topLeftCell="F1" workbookViewId="0">
      <selection activeCell="L14" sqref="L14"/>
    </sheetView>
  </sheetViews>
  <sheetFormatPr defaultColWidth="9" defaultRowHeight="15" outlineLevelRow="6"/>
  <cols>
    <col min="1" max="1" width="7.42857142857143" customWidth="1"/>
    <col min="2" max="2" width="21.1428571428571" customWidth="1"/>
    <col min="3" max="3" width="39.7142857142857" customWidth="1"/>
    <col min="4" max="4" width="35.4285714285714" customWidth="1"/>
    <col min="5" max="5" width="20" customWidth="1"/>
    <col min="6" max="6" width="27.7142857142857" customWidth="1"/>
    <col min="7" max="7" width="26.7142857142857" customWidth="1"/>
    <col min="8" max="8" width="15.5714285714286" customWidth="1"/>
    <col min="9" max="9" width="12.8571428571429" customWidth="1"/>
    <col min="10" max="10" width="22" customWidth="1"/>
    <col min="11" max="11" width="12.8571428571429" customWidth="1"/>
    <col min="12" max="12" width="16.2857142857143" customWidth="1"/>
    <col min="13" max="13" width="15.5714285714286" customWidth="1"/>
    <col min="14" max="14" width="15" customWidth="1"/>
    <col min="15" max="15" width="18.7142857142857" customWidth="1"/>
    <col min="16" max="16" width="15.2857142857143" customWidth="1"/>
    <col min="17" max="17" width="17.4285714285714" customWidth="1"/>
  </cols>
  <sheetData>
    <row r="1" ht="16.5" spans="1:17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6"/>
    </row>
    <row r="2" ht="15.75" spans="1:17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</row>
    <row r="3" ht="45.75" spans="1:17">
      <c r="A3" s="5">
        <v>1</v>
      </c>
      <c r="B3" s="6" t="s">
        <v>18</v>
      </c>
      <c r="C3" s="40" t="s">
        <v>19</v>
      </c>
      <c r="D3" s="41" t="s">
        <v>20</v>
      </c>
      <c r="E3" s="41" t="s">
        <v>21</v>
      </c>
      <c r="F3" s="41" t="s">
        <v>22</v>
      </c>
      <c r="G3" s="41" t="s">
        <v>23</v>
      </c>
      <c r="H3" s="42" t="s">
        <v>24</v>
      </c>
      <c r="I3" s="42" t="s">
        <v>24</v>
      </c>
      <c r="J3" s="8">
        <v>14</v>
      </c>
      <c r="K3" s="9">
        <f>J3*5</f>
        <v>70</v>
      </c>
      <c r="L3" s="23" t="s">
        <v>25</v>
      </c>
      <c r="M3" s="24">
        <v>1.05</v>
      </c>
      <c r="N3" s="25">
        <f>M3*J3</f>
        <v>14.7</v>
      </c>
      <c r="O3" s="24">
        <v>0.78</v>
      </c>
      <c r="P3" s="25">
        <f>O3*K3</f>
        <v>54.6</v>
      </c>
      <c r="Q3" s="37"/>
    </row>
    <row r="4" ht="15.75" spans="1:17">
      <c r="A4" s="5">
        <v>2</v>
      </c>
      <c r="B4" s="10" t="s">
        <v>26</v>
      </c>
      <c r="C4" s="11" t="s">
        <v>27</v>
      </c>
      <c r="D4" s="43" t="s">
        <v>28</v>
      </c>
      <c r="E4" s="43" t="s">
        <v>21</v>
      </c>
      <c r="F4" s="13"/>
      <c r="G4" s="14" t="s">
        <v>29</v>
      </c>
      <c r="H4" s="44" t="s">
        <v>24</v>
      </c>
      <c r="I4" s="45" t="s">
        <v>21</v>
      </c>
      <c r="J4" s="26">
        <v>1</v>
      </c>
      <c r="K4" s="15">
        <f>J4*5</f>
        <v>5</v>
      </c>
      <c r="L4" s="23" t="s">
        <v>25</v>
      </c>
      <c r="M4" s="27">
        <v>1.02</v>
      </c>
      <c r="N4" s="28">
        <f t="shared" ref="N4" si="0">M4*J4</f>
        <v>1.02</v>
      </c>
      <c r="O4" s="27">
        <v>1.02</v>
      </c>
      <c r="P4" s="28">
        <f t="shared" ref="P4" si="1">O4*K4</f>
        <v>5.1</v>
      </c>
      <c r="Q4" s="38"/>
    </row>
    <row r="5" ht="30.75" spans="1:17">
      <c r="A5" s="16">
        <v>3</v>
      </c>
      <c r="B5" s="17" t="s">
        <v>30</v>
      </c>
      <c r="C5" s="46" t="s">
        <v>31</v>
      </c>
      <c r="D5" s="47" t="s">
        <v>32</v>
      </c>
      <c r="E5" s="48" t="s">
        <v>33</v>
      </c>
      <c r="F5" s="49" t="s">
        <v>34</v>
      </c>
      <c r="G5" s="47" t="s">
        <v>35</v>
      </c>
      <c r="H5" s="50" t="s">
        <v>36</v>
      </c>
      <c r="I5" s="47" t="s">
        <v>37</v>
      </c>
      <c r="J5" s="19">
        <v>14</v>
      </c>
      <c r="K5" s="22">
        <f t="shared" ref="K5" si="2">J5*5</f>
        <v>70</v>
      </c>
      <c r="L5" s="29" t="s">
        <v>38</v>
      </c>
      <c r="M5" s="30">
        <v>0.036</v>
      </c>
      <c r="N5" s="31">
        <f t="shared" ref="N5" si="3">M5*J5</f>
        <v>0.504</v>
      </c>
      <c r="O5" s="30">
        <v>0.0198</v>
      </c>
      <c r="P5" s="31">
        <f>(O5*50)+(M5*20)</f>
        <v>1.71</v>
      </c>
      <c r="Q5" s="39"/>
    </row>
    <row r="6" ht="19.5" spans="9:16">
      <c r="I6" s="32" t="s">
        <v>39</v>
      </c>
      <c r="J6" s="32"/>
      <c r="K6" s="32"/>
      <c r="L6" s="32"/>
      <c r="N6" s="33">
        <f>SUM(N3:N5)</f>
        <v>16.224</v>
      </c>
      <c r="P6" s="33">
        <f>SUM(P3:P5)</f>
        <v>61.41</v>
      </c>
    </row>
    <row r="7" ht="18.75" spans="9:13">
      <c r="I7" s="34" t="s">
        <v>40</v>
      </c>
      <c r="J7" s="34"/>
      <c r="K7" s="34"/>
      <c r="L7" s="34"/>
      <c r="M7" s="35">
        <f>SUM(M3:M5)</f>
        <v>2.106</v>
      </c>
    </row>
  </sheetData>
  <mergeCells count="3">
    <mergeCell ref="A1:Q1"/>
    <mergeCell ref="I6:L6"/>
    <mergeCell ref="I7:L7"/>
  </mergeCells>
  <conditionalFormatting sqref="N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{476252fa-8ebe-41f0-8b53-eab25cb496aa}</x14:id>
        </ext>
      </extLst>
    </cfRule>
  </conditionalFormatting>
  <conditionalFormatting sqref="P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{41e62cdb-74cb-403a-83f1-4f3ca00b85c3}</x14:id>
        </ext>
      </extLst>
    </cfRule>
  </conditionalFormatting>
  <conditionalFormatting sqref="J3:K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 N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{6b27e94a-ca6c-4e70-b9d6-395d9b1887a2}</x14:id>
        </ext>
      </extLst>
    </cfRule>
  </conditionalFormatting>
  <conditionalFormatting sqref="P3 P5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{47393e7a-4fc5-40cd-a2c5-58c2f0691fc0}</x14:id>
        </ext>
      </extLst>
    </cfRule>
  </conditionalFormatting>
  <hyperlinks>
    <hyperlink ref="L5" r:id="rId1" display="Digikey"/>
  </hyperlinks>
  <pageMargins left="0.7" right="0.7" top="0.75" bottom="0.75" header="0.3" footer="0.3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6252fa-8ebe-41f0-8b53-eab25cb496a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N4</xm:sqref>
        </x14:conditionalFormatting>
        <x14:conditionalFormatting xmlns:xm="http://schemas.microsoft.com/office/excel/2006/main">
          <x14:cfRule type="dataBar" id="{41e62cdb-74cb-403a-83f1-4f3ca00b85c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P4</xm:sqref>
        </x14:conditionalFormatting>
        <x14:conditionalFormatting xmlns:xm="http://schemas.microsoft.com/office/excel/2006/main">
          <x14:cfRule type="dataBar" id="{6b27e94a-ca6c-4e70-b9d6-395d9b1887a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 N5</xm:sqref>
        </x14:conditionalFormatting>
        <x14:conditionalFormatting xmlns:xm="http://schemas.microsoft.com/office/excel/2006/main">
          <x14:cfRule type="dataBar" id="{47393e7a-4fc5-40cd-a2c5-58c2f0691fc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 P5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texon</cp:lastModifiedBy>
  <dcterms:created xsi:type="dcterms:W3CDTF">2022-02-04T09:39:00Z</dcterms:created>
  <dcterms:modified xsi:type="dcterms:W3CDTF">2022-03-22T13:42:30Z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1F7B69D0700B4B49ADED4926CEDD493A</vt:lpwstr>
  </property>
  <property fmtid="{D5CDD505-2E9C-101B-9397-08002B2CF9AE}" pid="3" name="KSOProductBuildVer">
    <vt:lpwstr>1033-11.2.0.11029</vt:lpwstr>
  </property>
</Properties>
</file>