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FranciscoGimenez-HCDSHardware\Documents\Deliverables_LB\BOM\"/>
    </mc:Choice>
  </mc:AlternateContent>
  <xr:revisionPtr revIDLastSave="0" documentId="13_ncr:1_{C8612894-7785-47CD-9682-429A1E6A18A5}" xr6:coauthVersionLast="47" xr6:coauthVersionMax="47" xr10:uidLastSave="{00000000-0000-0000-0000-000000000000}"/>
  <bookViews>
    <workbookView xWindow="2805" yWindow="2805" windowWidth="10335" windowHeight="7830" xr2:uid="{9702A19A-E861-442A-8D87-5A6EE6F71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N4" i="1"/>
  <c r="P3" i="1" l="1"/>
  <c r="P5" i="1"/>
  <c r="K4" i="1"/>
  <c r="M7" i="1"/>
  <c r="K3" i="1"/>
  <c r="N5" i="1"/>
  <c r="K5" i="1"/>
  <c r="N3" i="1"/>
  <c r="N6" i="1" l="1"/>
  <c r="P6" i="1"/>
</calcChain>
</file>

<file path=xl/sharedStrings.xml><?xml version="1.0" encoding="utf-8"?>
<sst xmlns="http://schemas.openxmlformats.org/spreadsheetml/2006/main" count="47" uniqueCount="42">
  <si>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</si>
  <si>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</si>
  <si>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</si>
  <si>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</si>
  <si>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</si>
  <si>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</si>
  <si>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</si>
  <si>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</si>
  <si>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</si>
  <si>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</si>
  <si>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</si>
  <si>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</si>
  <si>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</si>
  <si>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</si>
  <si>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</si>
  <si>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</si>
  <si>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</si>
  <si>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---------------</t>
  </si>
  <si>
    <t>Digikey</t>
  </si>
  <si>
    <t>Yageo</t>
  </si>
  <si>
    <t>-------------</t>
  </si>
  <si>
    <t>LED</t>
  </si>
  <si>
    <t xml:space="preserve">Total Component Cost </t>
  </si>
  <si>
    <t>Single Board Cost</t>
  </si>
  <si>
    <t>Bill of Material (BOM) for  LED Board</t>
  </si>
  <si>
    <t>Custom Supplier</t>
  </si>
  <si>
    <t>SMD,3.5x3.5mm Light Emitting Diodes (LED) RoHS</t>
  </si>
  <si>
    <t>LED0, LED1, LED2, LED3, LED4, LED5, LED6, LED7, LED8, LED9, LED10, LED11, LED12, LED13</t>
  </si>
  <si>
    <t>WS2812B-Mini</t>
  </si>
  <si>
    <t>-</t>
  </si>
  <si>
    <t>Worldsemi</t>
  </si>
  <si>
    <t>CC0201KRX5R6BB104</t>
  </si>
  <si>
    <t>CAP 0201</t>
  </si>
  <si>
    <t>C1, C2, C3, C4, C5, C6, C7, C8, C9, C10, C11, C12, C13, C14</t>
  </si>
  <si>
    <t>Cap Ceramic 0.1uF 10V X5R 10% SMD 0201 85C Paper T/R</t>
  </si>
  <si>
    <t>Capacitor</t>
  </si>
  <si>
    <t>0.1uF</t>
  </si>
  <si>
    <t>Connector</t>
  </si>
  <si>
    <t>3 POS 2.54mm female header</t>
  </si>
  <si>
    <t>J1</t>
  </si>
  <si>
    <t xml:space="preserve">801-47-003-10-001000
</t>
  </si>
  <si>
    <t>Mill-Max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</si>
</sst>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3" borderId="7" xfId="0" quotePrefix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7" xfId="1" applyBorder="1" applyAlignment="1" applyProtection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5" xfId="0" quotePrefix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3" fillId="0" borderId="5" xfId="1" applyBorder="1" applyAlignment="1" applyProtection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0" fillId="0" borderId="10" xfId="0" quotePrefix="1" applyBorder="1"/>
    <xf numFmtId="0" fontId="0" fillId="0" borderId="10" xfId="0" quotePrefix="1" applyBorder="1" applyAlignment="1">
      <alignment horizontal="center" vertical="center"/>
    </xf>
    <xf numFmtId="0" fontId="6" fillId="3" borderId="10" xfId="0" quotePrefix="1" applyFont="1" applyFill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7" fillId="0" borderId="10" xfId="0" quotePrefix="1" applyFont="1" applyBorder="1" applyAlignment="1">
      <alignment horizontal="center" vertical="center"/>
    </xf>
    <xf numFmtId="0" fontId="3" fillId="0" borderId="10" xfId="1" applyBorder="1" applyAlignment="1" applyProtection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7" xfId="0" quotePrefix="1" applyBorder="1" applyAlignment="1">
      <alignment horizontal="left" vertical="center" wrapText="1"/>
    </xf>
    <xf numFmtId="0" fontId="0" fillId="0" borderId="7" xfId="0" quotePrefix="1" applyBorder="1" applyAlignment="1">
      <alignment horizontal="center" vertical="center"/>
    </xf>
    <xf numFmtId="0" fontId="7" fillId="0" borderId="7" xfId="0" quotePrefix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mill-max-manufacturing-corp/801-47-003-10-001000/7364073?s=N4IgTCBcDaIBwAYCMBaALAdhQhBmFSC2yOCIAugL5A" TargetMode="External"/><Relationship Id="rId1" Type="http://schemas.openxmlformats.org/officeDocument/2006/relationships/hyperlink" Target="https://www.digikey.com/en/products/detail/yageo/RC0402FR-07200RL/2827569?s=N4IgTCBcDaIEoGEAMAWJYBicC0SDsYSScAMi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C2DF-2E77-49C4-9458-84630AD19973}">
  <dimension ref="A1:Q7"/>
  <sheetViews>
    <sheetView tabSelected="1" workbookViewId="0">
      <selection activeCell="A6" sqref="A6"/>
    </sheetView>
  </sheetViews>
  <sheetFormatPr defaultRowHeight="15" x14ac:dyDescent="0.25"/>
  <cols>
    <col min="1" max="1" width="7.42578125" customWidth="1"/>
    <col min="2" max="2" width="21.140625" customWidth="1"/>
    <col min="3" max="3" width="39.7109375" customWidth="1"/>
    <col min="4" max="4" width="35.42578125" customWidth="1"/>
    <col min="5" max="5" width="20" customWidth="1"/>
    <col min="6" max="6" width="27.7109375" customWidth="1"/>
    <col min="7" max="7" width="26.7109375" customWidth="1"/>
    <col min="8" max="8" width="15.5703125" customWidth="1"/>
    <col min="9" max="9" width="12.85546875" customWidth="1"/>
    <col min="10" max="10" width="22" customWidth="1"/>
    <col min="11" max="11" width="12.85546875" customWidth="1"/>
    <col min="12" max="12" width="16.28515625" customWidth="1"/>
    <col min="13" max="13" width="15.5703125" customWidth="1"/>
    <col min="14" max="14" width="15" customWidth="1"/>
    <col min="15" max="15" width="18.7109375" customWidth="1"/>
    <col min="16" max="16" width="15.28515625" customWidth="1"/>
    <col min="17" max="17" width="17.42578125" customWidth="1"/>
  </cols>
  <sheetData>
    <row r="1" spans="1:17" ht="16.5" thickBot="1" x14ac:dyDescent="0.3">
      <c r="A1" s="20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1:17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45.75" thickBot="1" x14ac:dyDescent="0.3">
      <c r="A3" s="3">
        <v>1</v>
      </c>
      <c r="B3" s="33" t="s">
        <v>21</v>
      </c>
      <c r="C3" s="34" t="s">
        <v>26</v>
      </c>
      <c r="D3" s="14" t="s">
        <v>27</v>
      </c>
      <c r="E3" s="14" t="s">
        <v>29</v>
      </c>
      <c r="F3" s="14" t="s">
        <v>28</v>
      </c>
      <c r="G3" s="14" t="s">
        <v>30</v>
      </c>
      <c r="H3" s="4" t="s">
        <v>17</v>
      </c>
      <c r="I3" s="4" t="s">
        <v>17</v>
      </c>
      <c r="J3" s="15">
        <v>14</v>
      </c>
      <c r="K3" s="16">
        <f>J3*5</f>
        <v>70</v>
      </c>
      <c r="L3" s="17" t="s">
        <v>25</v>
      </c>
      <c r="M3" s="6">
        <v>1.05</v>
      </c>
      <c r="N3" s="5">
        <f>M3*J3</f>
        <v>14.700000000000001</v>
      </c>
      <c r="O3" s="6">
        <v>0.78</v>
      </c>
      <c r="P3" s="5">
        <f>O3*K3</f>
        <v>54.6</v>
      </c>
      <c r="Q3" s="7"/>
    </row>
    <row r="4" spans="1:17" ht="15.75" thickBot="1" x14ac:dyDescent="0.3">
      <c r="A4" s="3">
        <v>2</v>
      </c>
      <c r="B4" s="35" t="s">
        <v>37</v>
      </c>
      <c r="C4" s="25" t="s">
        <v>38</v>
      </c>
      <c r="D4" s="26" t="s">
        <v>39</v>
      </c>
      <c r="E4" s="26" t="s">
        <v>29</v>
      </c>
      <c r="F4" s="27" t="s">
        <v>40</v>
      </c>
      <c r="G4" s="28" t="s">
        <v>41</v>
      </c>
      <c r="H4" s="29" t="s">
        <v>17</v>
      </c>
      <c r="I4" s="28" t="s">
        <v>29</v>
      </c>
      <c r="J4" s="36">
        <v>1</v>
      </c>
      <c r="K4" s="37">
        <f>J4*5</f>
        <v>5</v>
      </c>
      <c r="L4" s="30" t="s">
        <v>18</v>
      </c>
      <c r="M4" s="31">
        <v>1.02</v>
      </c>
      <c r="N4" s="32">
        <f t="shared" ref="N4" si="0">M4*J4</f>
        <v>1.02</v>
      </c>
      <c r="O4" s="31">
        <v>1.02</v>
      </c>
      <c r="P4" s="32">
        <f t="shared" ref="P4" si="1">O4*K4</f>
        <v>5.0999999999999996</v>
      </c>
      <c r="Q4" s="38"/>
    </row>
    <row r="5" spans="1:17" ht="30.75" thickBot="1" x14ac:dyDescent="0.3">
      <c r="A5" s="45">
        <v>3</v>
      </c>
      <c r="B5" s="39" t="s">
        <v>35</v>
      </c>
      <c r="C5" s="40" t="s">
        <v>34</v>
      </c>
      <c r="D5" s="18" t="s">
        <v>33</v>
      </c>
      <c r="E5" s="8" t="s">
        <v>32</v>
      </c>
      <c r="F5" s="41" t="s">
        <v>31</v>
      </c>
      <c r="G5" s="18" t="s">
        <v>19</v>
      </c>
      <c r="H5" s="42" t="s">
        <v>20</v>
      </c>
      <c r="I5" s="18" t="s">
        <v>36</v>
      </c>
      <c r="J5" s="19">
        <v>14</v>
      </c>
      <c r="K5" s="43">
        <f t="shared" ref="K5" si="2">J5*5</f>
        <v>70</v>
      </c>
      <c r="L5" s="11" t="s">
        <v>18</v>
      </c>
      <c r="M5" s="44">
        <v>3.5999999999999997E-2</v>
      </c>
      <c r="N5" s="9">
        <f t="shared" ref="N5" si="3">M5*J5</f>
        <v>0.504</v>
      </c>
      <c r="O5" s="44">
        <v>1.9800000000000002E-2</v>
      </c>
      <c r="P5" s="9">
        <f>(O5*50)+(M5*20)</f>
        <v>1.71</v>
      </c>
      <c r="Q5" s="10"/>
    </row>
    <row r="6" spans="1:17" ht="19.5" thickBot="1" x14ac:dyDescent="0.35">
      <c r="I6" s="23" t="s">
        <v>22</v>
      </c>
      <c r="J6" s="23"/>
      <c r="K6" s="23"/>
      <c r="L6" s="23"/>
      <c r="N6" s="13">
        <f>SUM(N3:N5)</f>
        <v>16.224</v>
      </c>
      <c r="P6" s="13">
        <f>SUM(P3:P5)</f>
        <v>61.410000000000004</v>
      </c>
    </row>
    <row r="7" spans="1:17" ht="18.75" x14ac:dyDescent="0.3">
      <c r="I7" s="24" t="s">
        <v>23</v>
      </c>
      <c r="J7" s="24"/>
      <c r="K7" s="24"/>
      <c r="L7" s="24"/>
      <c r="M7" s="12">
        <f>SUM(M3:M5)</f>
        <v>2.1060000000000003</v>
      </c>
    </row>
  </sheetData>
  <mergeCells count="3">
    <mergeCell ref="A1:Q1"/>
    <mergeCell ref="I6:L6"/>
    <mergeCell ref="I7:L7"/>
  </mergeCells>
  <conditionalFormatting sqref="J3:K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 N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{2A02E33D-8F3B-426A-9754-D61B6D152641}</x14:id>
        </ext>
      </extLst>
    </cfRule>
  </conditionalFormatting>
  <conditionalFormatting sqref="P3 P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{04B48C96-E7CF-4070-AC38-040339A80186}</x14:id>
        </ext>
      </extLst>
    </cfRule>
  </conditionalFormatting>
  <conditionalFormatting sqref="N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{806F8C3A-2BBB-4280-BC8D-A451438A126E}</x14:id>
        </ext>
      </extLst>
    </cfRule>
  </conditionalFormatting>
  <conditionalFormatting sqref="P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{5104B2EA-F186-4759-B600-C59CC9631544}</x14:id>
        </ext>
      </extLst>
    </cfRule>
  </conditionalFormatting>
  <hyperlinks>
    <hyperlink ref="L5" r:id="rId1" xr:uid="{89E528AF-9785-40E1-867E-0BB61CE2B06F}"/>
    <hyperlink ref="L4" r:id="rId2" xr:uid="{0F30DC65-CD63-4CB2-AAFB-E83617BA0BA7}"/>
  </hyperlinks>
  <pageMargins left="0.7" right="0.7" top="0.75" bottom="0.75" header="0.3" footer="0.3"/>
  <pageSetup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02E33D-8F3B-426A-9754-D61B6D152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 N5</xm:sqref>
        </x14:conditionalFormatting>
        <x14:conditionalFormatting xmlns:xm="http://schemas.microsoft.com/office/excel/2006/main">
          <x14:cfRule type="dataBar" id="{04B48C96-E7CF-4070-AC38-040339A801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 P5</xm:sqref>
        </x14:conditionalFormatting>
        <x14:conditionalFormatting xmlns:xm="http://schemas.microsoft.com/office/excel/2006/main">
          <x14:cfRule type="dataBar" id="{806F8C3A-2BBB-4280-BC8D-A451438A12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104B2EA-F186-4759-B600-C59CC963154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2022-02-04T09:39:49Z</dcterms:created>
  <dcterms:modified xsi:type="dcterms:W3CDTF">2022-03-22T12:19:01Z</dcterms:modified>
</cp:coreProperties>
</file>