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Spark\FranciscoGimenez-HCDSHardware\Documents\Deliverables_LB\BOM\"/>
    </mc:Choice>
  </mc:AlternateContent>
  <xr:revisionPtr revIDLastSave="0" documentId="13_ncr:1_{555EDAEE-A93B-47B0-AB5E-3F92CB86CE12}" xr6:coauthVersionLast="47" xr6:coauthVersionMax="47" xr10:uidLastSave="{00000000-0000-0000-0000-000000000000}"/>
  <bookViews>
    <workbookView xWindow="-120" yWindow="-120" windowWidth="20730" windowHeight="11160" xr2:uid="{9702A19A-E861-442A-8D87-5A6EE6F71E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5" i="1"/>
  <c r="N5" i="1"/>
  <c r="M6" i="1"/>
  <c r="K3" i="1"/>
  <c r="N4" i="1"/>
  <c r="K4" i="1"/>
  <c r="P4" i="1" s="1"/>
  <c r="N3" i="1"/>
</calcChain>
</file>

<file path=xl/sharedStrings.xml><?xml version="1.0" encoding="utf-8"?>
<sst xmlns="http://schemas.openxmlformats.org/spreadsheetml/2006/main" count="38" uniqueCount="36">
  <si>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</si>
  <si>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</si>
  <si>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</si>
  <si>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</si>
  <si>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</si>
  <si>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</si>
  <si>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</si>
  <si>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</si>
  <si>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</si>
  <si>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</si>
  <si>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</si>
  <si>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</si>
  <si>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</si>
  <si>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</si>
  <si>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</si>
  <si>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</si>
  <si>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</si>
  <si>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---------------</t>
  </si>
  <si>
    <t>Digikey</t>
  </si>
  <si>
    <t>Yageo</t>
  </si>
  <si>
    <t>-------------</t>
  </si>
  <si>
    <t>LED</t>
  </si>
  <si>
    <t>Resistor</t>
  </si>
  <si>
    <t xml:space="preserve">Total Component Cost </t>
  </si>
  <si>
    <t>Single Board Cost</t>
  </si>
  <si>
    <t>Bill of Material (BOM) for  LED Board</t>
  </si>
  <si>
    <t>200R</t>
  </si>
  <si>
    <t>LED1, LED2, LED3, LED4, LED5, LED6, LED7, LED8, LED9, LED10, LED11, LED12, LED13, LED14, LED15, LED16, LED17, LED18, LED19, LED20, LED21, LED22, LED23, LED24, LED25, LED26, LED27, LED28, LED29, LED30, LED31, LED32, LED33, LED34, LED35, LED36, LED37, LED38, LED39, LED40, LED41, LED42, LED43, LED44, LED45, LED46, LED47, LED48, LED49, LED50, LED51, LED52, LED53, LED54, LED55, LED56, LED57, LED58, LED59, LED60, LED61, LED62, LED63, LED64, LED65, LED66, LED67, LED68, LED69, LED70, LED71, LED72</t>
  </si>
  <si>
    <t>R1, R2, R3, R4, R5, R6, R7, R8, R9, R10, R11, R12, R13, R14, R15, R16, R17, R18, R19, R20, R21, R22, R23, R24, R25, R26, R27, R28, R29, R30, R31, R32, R33, R34, R35, R36</t>
  </si>
  <si>
    <t>LED 0201</t>
  </si>
  <si>
    <t>RC0402FR-07200RL</t>
  </si>
  <si>
    <t>RES 0402</t>
  </si>
  <si>
    <t>KTRLIGHT</t>
  </si>
  <si>
    <t>KTRLIGHT 0201 SMD LED Red 620-625nm 0.06W high bright quality 0201 Led chip led lamp beads surface mounted SMD LED datasheet</t>
  </si>
  <si>
    <t>RES 200 OHM 1% 1/16W 0402</t>
  </si>
  <si>
    <t>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</si>
</sst>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00"/>
    <numFmt numFmtId="165" formatCode="&quot;$&quot;#,##0.00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0" borderId="6" xfId="0" quotePrefix="1" applyFont="1" applyBorder="1" applyAlignment="1">
      <alignment horizontal="center" vertical="center"/>
    </xf>
    <xf numFmtId="165" fontId="7" fillId="0" borderId="6" xfId="0" applyNumberFormat="1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6" fillId="3" borderId="9" xfId="0" quotePrefix="1" applyFont="1" applyFill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wrapText="1"/>
    </xf>
    <xf numFmtId="0" fontId="8" fillId="3" borderId="0" xfId="0" applyFont="1" applyFill="1" applyAlignment="1">
      <alignment horizontal="center" wrapText="1"/>
    </xf>
    <xf numFmtId="0" fontId="7" fillId="0" borderId="12" xfId="0" applyFont="1" applyBorder="1" applyAlignment="1">
      <alignment horizontal="center" vertical="center"/>
    </xf>
    <xf numFmtId="0" fontId="3" fillId="0" borderId="9" xfId="1" applyBorder="1" applyAlignment="1" applyProtection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0" borderId="5" xfId="0" applyFont="1" applyBorder="1" applyAlignment="1">
      <alignment horizontal="center" vertical="center"/>
    </xf>
    <xf numFmtId="0" fontId="0" fillId="0" borderId="6" xfId="0" quotePrefix="1" applyBorder="1" applyAlignment="1">
      <alignment vertical="center" wrapText="1"/>
    </xf>
    <xf numFmtId="0" fontId="0" fillId="0" borderId="6" xfId="0" quotePrefix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/>
    </xf>
    <xf numFmtId="0" fontId="3" fillId="0" borderId="6" xfId="1" applyBorder="1" applyAlignment="1" applyProtection="1">
      <alignment horizontal="center" vertical="center"/>
    </xf>
    <xf numFmtId="0" fontId="0" fillId="0" borderId="9" xfId="0" quotePrefix="1" applyBorder="1" applyAlignment="1">
      <alignment vertical="center" wrapText="1"/>
    </xf>
    <xf numFmtId="0" fontId="0" fillId="0" borderId="9" xfId="0" quotePrefix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igikey.com/en/products/detail/yageo/RC0402FR-07200RL/2827569?s=N4IgTCBcDaIEoGEAMAWJYBicC0SDsYSScAMiALoC%2B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DC2DF-2E77-49C4-9458-84630AD19973}">
  <dimension ref="A1:Q6"/>
  <sheetViews>
    <sheetView tabSelected="1" workbookViewId="0">
      <selection activeCell="B3" sqref="B3:Q4"/>
    </sheetView>
  </sheetViews>
  <sheetFormatPr defaultRowHeight="15" x14ac:dyDescent="0.25"/>
  <cols>
    <col min="1" max="1" width="7.42578125" customWidth="1"/>
    <col min="2" max="2" width="21.140625" customWidth="1"/>
    <col min="3" max="3" width="34.5703125" customWidth="1"/>
    <col min="4" max="4" width="35.42578125" customWidth="1"/>
    <col min="5" max="5" width="20" customWidth="1"/>
    <col min="6" max="6" width="27.7109375" customWidth="1"/>
    <col min="7" max="7" width="26.7109375" customWidth="1"/>
    <col min="8" max="8" width="15.5703125" customWidth="1"/>
    <col min="9" max="9" width="12.85546875" customWidth="1"/>
    <col min="10" max="10" width="22" customWidth="1"/>
    <col min="11" max="11" width="12.85546875" customWidth="1"/>
    <col min="12" max="12" width="16.28515625" customWidth="1"/>
    <col min="13" max="13" width="15.5703125" customWidth="1"/>
    <col min="14" max="14" width="15" customWidth="1"/>
    <col min="15" max="15" width="18.7109375" customWidth="1"/>
    <col min="16" max="16" width="15.28515625" customWidth="1"/>
    <col min="17" max="17" width="17.42578125" customWidth="1"/>
  </cols>
  <sheetData>
    <row r="1" spans="1:17" ht="16.5" thickBot="1" x14ac:dyDescent="0.3">
      <c r="A1" s="1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</row>
    <row r="2" spans="1:17" ht="15.75" thickBot="1" x14ac:dyDescent="0.3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5" t="s">
        <v>13</v>
      </c>
      <c r="O2" s="5" t="s">
        <v>14</v>
      </c>
      <c r="P2" s="5" t="s">
        <v>15</v>
      </c>
      <c r="Q2" s="5" t="s">
        <v>16</v>
      </c>
    </row>
    <row r="3" spans="1:17" ht="210.75" thickBot="1" x14ac:dyDescent="0.3">
      <c r="A3" s="6">
        <v>1</v>
      </c>
      <c r="B3" s="23" t="s">
        <v>21</v>
      </c>
      <c r="C3" s="24" t="s">
        <v>33</v>
      </c>
      <c r="D3" s="25" t="s">
        <v>27</v>
      </c>
      <c r="E3" s="25" t="s">
        <v>29</v>
      </c>
      <c r="F3" s="25" t="s">
        <v>29</v>
      </c>
      <c r="G3" s="25" t="s">
        <v>32</v>
      </c>
      <c r="H3" s="7" t="s">
        <v>17</v>
      </c>
      <c r="I3" s="7" t="s">
        <v>17</v>
      </c>
      <c r="J3" s="26">
        <v>72</v>
      </c>
      <c r="K3" s="27">
        <f>J3*5</f>
        <v>360</v>
      </c>
      <c r="L3" s="28" t="s">
        <v>35</v>
      </c>
      <c r="M3" s="9">
        <v>0.47</v>
      </c>
      <c r="N3" s="8">
        <f>M3*J3</f>
        <v>33.839999999999996</v>
      </c>
      <c r="O3" s="9">
        <v>0.28000000000000003</v>
      </c>
      <c r="P3" s="8">
        <f>O3*K3</f>
        <v>100.80000000000001</v>
      </c>
      <c r="Q3" s="10"/>
    </row>
    <row r="4" spans="1:17" ht="75.75" thickBot="1" x14ac:dyDescent="0.3">
      <c r="A4" s="6">
        <v>2</v>
      </c>
      <c r="B4" s="16" t="s">
        <v>22</v>
      </c>
      <c r="C4" s="29" t="s">
        <v>34</v>
      </c>
      <c r="D4" s="30" t="s">
        <v>28</v>
      </c>
      <c r="E4" s="11" t="s">
        <v>31</v>
      </c>
      <c r="F4" s="30" t="s">
        <v>30</v>
      </c>
      <c r="G4" s="30" t="s">
        <v>19</v>
      </c>
      <c r="H4" s="12" t="s">
        <v>20</v>
      </c>
      <c r="I4" s="30" t="s">
        <v>26</v>
      </c>
      <c r="J4" s="31">
        <v>36</v>
      </c>
      <c r="K4" s="13">
        <f t="shared" ref="K4" si="0">J4*5</f>
        <v>180</v>
      </c>
      <c r="L4" s="20" t="s">
        <v>18</v>
      </c>
      <c r="M4" s="14">
        <v>1.6E-2</v>
      </c>
      <c r="N4" s="15">
        <f t="shared" ref="N4" si="1">M4*J4</f>
        <v>0.57600000000000007</v>
      </c>
      <c r="O4" s="14">
        <v>6.6E-3</v>
      </c>
      <c r="P4" s="15">
        <f t="shared" ref="P4" si="2">O4*K4</f>
        <v>1.1879999999999999</v>
      </c>
      <c r="Q4" s="19"/>
    </row>
    <row r="5" spans="1:17" ht="19.5" thickBot="1" x14ac:dyDescent="0.35">
      <c r="I5" s="17" t="s">
        <v>23</v>
      </c>
      <c r="J5" s="17"/>
      <c r="K5" s="17"/>
      <c r="L5" s="17"/>
      <c r="N5" s="22">
        <f>SUM(N3:N4)</f>
        <v>34.415999999999997</v>
      </c>
      <c r="P5" s="22">
        <f>SUM(P3:P4)</f>
        <v>101.98800000000001</v>
      </c>
    </row>
    <row r="6" spans="1:17" ht="18.75" x14ac:dyDescent="0.3">
      <c r="I6" s="18" t="s">
        <v>24</v>
      </c>
      <c r="J6" s="18"/>
      <c r="K6" s="18"/>
      <c r="L6" s="18"/>
      <c r="M6" s="21">
        <f>SUM(M3:M4)</f>
        <v>0.48599999999999999</v>
      </c>
    </row>
  </sheetData>
  <mergeCells count="3">
    <mergeCell ref="A1:Q1"/>
    <mergeCell ref="I5:L5"/>
    <mergeCell ref="I6:L6"/>
  </mergeCells>
  <conditionalFormatting sqref="J3:K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4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{2A02E33D-8F3B-426A-9754-D61B6D152641}</x14:id>
        </ext>
      </extLst>
    </cfRule>
  </conditionalFormatting>
  <conditionalFormatting sqref="P3:P4">
    <cfRule type="dataBar" priority="6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{04B48C96-E7CF-4070-AC38-040339A80186}</x14:id>
        </ext>
      </extLst>
    </cfRule>
  </conditionalFormatting>
  <hyperlinks>
    <hyperlink ref="L4" r:id="rId1" xr:uid="{89E528AF-9785-40E1-867E-0BB61CE2B06F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02E33D-8F3B-426A-9754-D61B6D15264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N3:N4</xm:sqref>
        </x14:conditionalFormatting>
        <x14:conditionalFormatting xmlns:xm="http://schemas.microsoft.com/office/excel/2006/main">
          <x14:cfRule type="dataBar" id="{04B48C96-E7CF-4070-AC38-040339A801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2022-02-04T09:39:49Z</dcterms:created>
  <dcterms:modified xsi:type="dcterms:W3CDTF">2022-02-04T09:57:46Z</dcterms:modified>
</cp:coreProperties>
</file>