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Hub\Francisco-Gimenez\Documents\Deliverables_OB\BOM\"/>
    </mc:Choice>
  </mc:AlternateContent>
  <bookViews>
    <workbookView xWindow="0" yWindow="0" windowWidth="24000" windowHeight="9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" i="1" l="1"/>
  <c r="P8" i="1"/>
  <c r="N9" i="1"/>
  <c r="P4" i="1"/>
  <c r="P5" i="1"/>
  <c r="P6" i="1"/>
  <c r="P7" i="1"/>
  <c r="P3" i="1"/>
  <c r="N4" i="1"/>
  <c r="N5" i="1"/>
  <c r="N6" i="1"/>
  <c r="N7" i="1"/>
  <c r="N3" i="1"/>
  <c r="K4" i="1"/>
  <c r="K5" i="1"/>
  <c r="K6" i="1"/>
  <c r="K7" i="1"/>
  <c r="K3" i="1"/>
</calcChain>
</file>

<file path=xl/sharedStrings.xml><?xml version="1.0" encoding="utf-8"?>
<sst xmlns="http://schemas.openxmlformats.org/spreadsheetml/2006/main" count="61" uniqueCount="54">
  <si>
    <t>Bill of Material (BOM) for  Optical Sensor</t>
  </si>
  <si>
    <t>S. No.</t>
  </si>
  <si>
    <t>Comment Type</t>
  </si>
  <si>
    <t>Description</t>
  </si>
  <si>
    <t>Designator</t>
  </si>
  <si>
    <t>Footprint (Package)</t>
  </si>
  <si>
    <t>Manufacturer Part Number</t>
  </si>
  <si>
    <t>Manufacturer</t>
  </si>
  <si>
    <t>Value</t>
  </si>
  <si>
    <t>Remarks</t>
  </si>
  <si>
    <t>Capacitor</t>
  </si>
  <si>
    <t>CAP CER 10000PF 16V X5R 0201</t>
  </si>
  <si>
    <t>C1</t>
  </si>
  <si>
    <t>Cap 0201</t>
  </si>
  <si>
    <t>GRM033R61C103KA12D</t>
  </si>
  <si>
    <t>Murata</t>
  </si>
  <si>
    <t>0.01uF</t>
  </si>
  <si>
    <t>Resistor</t>
  </si>
  <si>
    <t>Res Thick Film 0201 470 Ohm 5% 0.05W(1/20W) ±200ppm/C Molded SMD Paper T/R</t>
  </si>
  <si>
    <t>R1</t>
  </si>
  <si>
    <t>Res-0201</t>
  </si>
  <si>
    <t>RC0201JR-07470RL</t>
  </si>
  <si>
    <t>Yageo</t>
  </si>
  <si>
    <t>470R</t>
  </si>
  <si>
    <t>Res Thick Film 0201 220 Ohm 1% 1/20W ±200ppm/°C Molded SMD SMD Paper T/R</t>
  </si>
  <si>
    <t>R2</t>
  </si>
  <si>
    <t>RC0201FR-07220RL</t>
  </si>
  <si>
    <t>220R</t>
  </si>
  <si>
    <t>IC</t>
  </si>
  <si>
    <t>QRD1114 Series 30 V 50 mA Phototransistor Reflective Object Sensor</t>
  </si>
  <si>
    <t>U1</t>
  </si>
  <si>
    <t>Custom</t>
  </si>
  <si>
    <t>QRD1114</t>
  </si>
  <si>
    <t>On Semiconductor</t>
  </si>
  <si>
    <t>------</t>
  </si>
  <si>
    <t>Connector</t>
  </si>
  <si>
    <t xml:space="preserve">CONN HEADER VERT 3POS 2.5MM
</t>
  </si>
  <si>
    <t>J1</t>
  </si>
  <si>
    <t xml:space="preserve"> 
JST Sales America Inc.</t>
  </si>
  <si>
    <t>----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</si>
  <si>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</si>
  <si>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</si>
  <si>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</si>
  <si>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</si>
  <si>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</si>
  <si>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</si>
  <si>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</si>
  <si>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Digikey</t>
  </si>
  <si>
    <t>B3B-XH-A(LF)(SN)</t>
  </si>
  <si>
    <t xml:space="preserve">less Stock </t>
  </si>
  <si>
    <t>Alternate</t>
  </si>
  <si>
    <t>B3B-XH-AM(LF)(SN)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</si>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</sst>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333333"/>
      <name val="Arial"/>
      <family val="2"/>
    </font>
    <font>
      <sz val="10"/>
      <color rgb="FF444444"/>
      <name val="Arial"/>
      <family val="2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4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3" xfId="0" quotePrefix="1" applyFont="1" applyBorder="1" applyAlignment="1">
      <alignment vertical="center"/>
    </xf>
    <xf numFmtId="0" fontId="6" fillId="0" borderId="3" xfId="1" applyFont="1" applyBorder="1" applyAlignment="1" applyProtection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6" xfId="0" quotePrefix="1" applyFont="1" applyBorder="1" applyAlignment="1">
      <alignment vertical="center"/>
    </xf>
    <xf numFmtId="0" fontId="6" fillId="0" borderId="6" xfId="1" applyFont="1" applyBorder="1" applyAlignment="1" applyProtection="1">
      <alignment horizontal="center" vertical="center"/>
    </xf>
    <xf numFmtId="0" fontId="5" fillId="0" borderId="8" xfId="0" quotePrefix="1" applyFont="1" applyBorder="1" applyAlignment="1">
      <alignment vertical="center"/>
    </xf>
    <xf numFmtId="0" fontId="6" fillId="0" borderId="8" xfId="1" applyFont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6" xfId="0" applyFont="1" applyBorder="1"/>
    <xf numFmtId="164" fontId="5" fillId="0" borderId="6" xfId="0" applyNumberFormat="1" applyFont="1" applyBorder="1" applyAlignment="1">
      <alignment horizontal="center" vertical="center"/>
    </xf>
    <xf numFmtId="0" fontId="5" fillId="0" borderId="8" xfId="0" applyFont="1" applyBorder="1"/>
    <xf numFmtId="164" fontId="5" fillId="0" borderId="8" xfId="0" applyNumberFormat="1" applyFont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0" fillId="0" borderId="0" xfId="0" applyNumberFormat="1"/>
    <xf numFmtId="164" fontId="5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wrapText="1"/>
    </xf>
    <xf numFmtId="0" fontId="9" fillId="3" borderId="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nl/product-detail/en/yageo/RC0201FR-07220RL/YAG2509CT-ND/5281373" TargetMode="External"/><Relationship Id="rId2" Type="http://schemas.openxmlformats.org/officeDocument/2006/relationships/hyperlink" Target="https://www.digikey.nl/product-detail/en/yageo/RC0201JR-07470RL/311-470NCT-ND/1949059" TargetMode="External"/><Relationship Id="rId1" Type="http://schemas.openxmlformats.org/officeDocument/2006/relationships/hyperlink" Target="https://www.digikey.nl/product-detail/en/murata-electronics/GRM033R61C103KA12D/490-7223-1-ND/421338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nl/product-detail/en/jst-sales-america-inc/B3B-XH-AM-LF-SN/455-2231-ND/1651029" TargetMode="External"/><Relationship Id="rId4" Type="http://schemas.openxmlformats.org/officeDocument/2006/relationships/hyperlink" Target="https://www.digikey.nl/products/en/sensors-transducers/optical-sensors-reflective-analog-output/546?k=QRD11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workbookViewId="0">
      <selection sqref="A1:Q1"/>
    </sheetView>
  </sheetViews>
  <sheetFormatPr defaultRowHeight="15" x14ac:dyDescent="0.25"/>
  <cols>
    <col min="2" max="2" width="15.85546875" bestFit="1" customWidth="1"/>
    <col min="3" max="3" width="75.42578125" bestFit="1" customWidth="1"/>
    <col min="4" max="4" width="11.5703125" bestFit="1" customWidth="1"/>
    <col min="5" max="5" width="20.5703125" bestFit="1" customWidth="1"/>
    <col min="6" max="6" width="28.42578125" bestFit="1" customWidth="1"/>
    <col min="7" max="7" width="19.7109375" bestFit="1" customWidth="1"/>
    <col min="8" max="8" width="16.85546875" bestFit="1" customWidth="1"/>
    <col min="9" max="10" width="19.42578125" bestFit="1" customWidth="1"/>
    <col min="11" max="11" width="11.7109375" bestFit="1" customWidth="1"/>
    <col min="12" max="12" width="11.5703125" bestFit="1" customWidth="1"/>
    <col min="13" max="13" width="12.140625" bestFit="1" customWidth="1"/>
    <col min="14" max="15" width="18.7109375" bestFit="1" customWidth="1"/>
    <col min="16" max="16" width="12.5703125" bestFit="1" customWidth="1"/>
    <col min="17" max="17" width="10" bestFit="1" customWidth="1"/>
  </cols>
  <sheetData>
    <row r="1" spans="1:17" ht="16.5" customHeight="1" thickBot="1" x14ac:dyDescent="0.3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ht="15.75" thickBot="1" x14ac:dyDescent="0.3">
      <c r="A2" s="13" t="s">
        <v>1</v>
      </c>
      <c r="B2" s="12" t="s">
        <v>2</v>
      </c>
      <c r="C2" s="2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50</v>
      </c>
      <c r="I2" s="12" t="s">
        <v>8</v>
      </c>
      <c r="J2" s="12" t="s">
        <v>40</v>
      </c>
      <c r="K2" s="12" t="s">
        <v>41</v>
      </c>
      <c r="L2" s="12" t="s">
        <v>42</v>
      </c>
      <c r="M2" s="12" t="s">
        <v>43</v>
      </c>
      <c r="N2" s="12" t="s">
        <v>44</v>
      </c>
      <c r="O2" s="12" t="s">
        <v>45</v>
      </c>
      <c r="P2" s="12" t="s">
        <v>46</v>
      </c>
      <c r="Q2" s="12" t="s">
        <v>9</v>
      </c>
    </row>
    <row r="3" spans="1:17" ht="15.75" thickBot="1" x14ac:dyDescent="0.3">
      <c r="A3" s="13">
        <v>1</v>
      </c>
      <c r="B3" s="21" t="s">
        <v>10</v>
      </c>
      <c r="C3" s="14" t="s">
        <v>11</v>
      </c>
      <c r="D3" s="2" t="s">
        <v>12</v>
      </c>
      <c r="E3" s="2" t="s">
        <v>13</v>
      </c>
      <c r="F3" s="2" t="s">
        <v>14</v>
      </c>
      <c r="G3" s="1" t="s">
        <v>15</v>
      </c>
      <c r="H3" s="23"/>
      <c r="I3" s="2" t="s">
        <v>16</v>
      </c>
      <c r="J3" s="3">
        <v>1</v>
      </c>
      <c r="K3" s="4">
        <f>J3*5</f>
        <v>5</v>
      </c>
      <c r="L3" s="15" t="s">
        <v>47</v>
      </c>
      <c r="M3" s="29">
        <v>0.1</v>
      </c>
      <c r="N3" s="16">
        <f>M3*1</f>
        <v>0.1</v>
      </c>
      <c r="O3" s="29">
        <v>0.1</v>
      </c>
      <c r="P3" s="16">
        <f>O3*5</f>
        <v>0.5</v>
      </c>
      <c r="Q3" s="30"/>
    </row>
    <row r="4" spans="1:17" ht="15.75" thickBot="1" x14ac:dyDescent="0.3">
      <c r="A4" s="13">
        <v>2</v>
      </c>
      <c r="B4" s="38" t="s">
        <v>17</v>
      </c>
      <c r="C4" s="17" t="s">
        <v>18</v>
      </c>
      <c r="D4" s="6" t="s">
        <v>19</v>
      </c>
      <c r="E4" s="6" t="s">
        <v>20</v>
      </c>
      <c r="F4" s="6" t="s">
        <v>21</v>
      </c>
      <c r="G4" s="5" t="s">
        <v>22</v>
      </c>
      <c r="H4" s="24"/>
      <c r="I4" s="6" t="s">
        <v>23</v>
      </c>
      <c r="J4" s="7">
        <v>1</v>
      </c>
      <c r="K4" s="7">
        <f t="shared" ref="K4:K7" si="0">J4*5</f>
        <v>5</v>
      </c>
      <c r="L4" s="18" t="s">
        <v>47</v>
      </c>
      <c r="M4" s="31">
        <v>0.1</v>
      </c>
      <c r="N4" s="25">
        <f t="shared" ref="N4:N7" si="1">M4*1</f>
        <v>0.1</v>
      </c>
      <c r="O4" s="31">
        <v>0.1</v>
      </c>
      <c r="P4" s="25">
        <f t="shared" ref="P4:P7" si="2">O4*5</f>
        <v>0.5</v>
      </c>
      <c r="Q4" s="32"/>
    </row>
    <row r="5" spans="1:17" ht="15.75" thickBot="1" x14ac:dyDescent="0.3">
      <c r="A5" s="13">
        <v>3</v>
      </c>
      <c r="B5" s="39"/>
      <c r="C5" s="19" t="s">
        <v>24</v>
      </c>
      <c r="D5" s="9" t="s">
        <v>25</v>
      </c>
      <c r="E5" s="9" t="s">
        <v>20</v>
      </c>
      <c r="F5" s="9" t="s">
        <v>26</v>
      </c>
      <c r="G5" s="8" t="s">
        <v>22</v>
      </c>
      <c r="H5" s="26"/>
      <c r="I5" s="9" t="s">
        <v>27</v>
      </c>
      <c r="J5" s="10">
        <v>1</v>
      </c>
      <c r="K5" s="11">
        <f t="shared" si="0"/>
        <v>5</v>
      </c>
      <c r="L5" s="20" t="s">
        <v>47</v>
      </c>
      <c r="M5" s="33">
        <v>0.1</v>
      </c>
      <c r="N5" s="27">
        <f t="shared" si="1"/>
        <v>0.1</v>
      </c>
      <c r="O5" s="33">
        <v>0.1</v>
      </c>
      <c r="P5" s="27">
        <f t="shared" si="2"/>
        <v>0.5</v>
      </c>
      <c r="Q5" s="34"/>
    </row>
    <row r="6" spans="1:17" ht="15.75" thickBot="1" x14ac:dyDescent="0.3">
      <c r="A6" s="13">
        <v>4</v>
      </c>
      <c r="B6" s="21" t="s">
        <v>28</v>
      </c>
      <c r="C6" s="14" t="s">
        <v>29</v>
      </c>
      <c r="D6" s="2" t="s">
        <v>30</v>
      </c>
      <c r="E6" s="2" t="s">
        <v>31</v>
      </c>
      <c r="F6" s="2" t="s">
        <v>32</v>
      </c>
      <c r="G6" s="1" t="s">
        <v>33</v>
      </c>
      <c r="H6" s="23"/>
      <c r="I6" s="2" t="s">
        <v>34</v>
      </c>
      <c r="J6" s="4">
        <v>1</v>
      </c>
      <c r="K6" s="4">
        <f t="shared" si="0"/>
        <v>5</v>
      </c>
      <c r="L6" s="15" t="s">
        <v>47</v>
      </c>
      <c r="M6" s="29">
        <v>1.84</v>
      </c>
      <c r="N6" s="16">
        <f t="shared" si="1"/>
        <v>1.84</v>
      </c>
      <c r="O6" s="29">
        <v>1.84</v>
      </c>
      <c r="P6" s="16">
        <f t="shared" si="2"/>
        <v>9.2000000000000011</v>
      </c>
      <c r="Q6" s="30" t="s">
        <v>49</v>
      </c>
    </row>
    <row r="7" spans="1:17" ht="15.75" thickBot="1" x14ac:dyDescent="0.3">
      <c r="A7" s="13">
        <v>5</v>
      </c>
      <c r="B7" s="21" t="s">
        <v>35</v>
      </c>
      <c r="C7" s="14" t="s">
        <v>36</v>
      </c>
      <c r="D7" s="2" t="s">
        <v>37</v>
      </c>
      <c r="E7" s="2" t="s">
        <v>31</v>
      </c>
      <c r="F7" s="2" t="s">
        <v>48</v>
      </c>
      <c r="G7" s="1" t="s">
        <v>38</v>
      </c>
      <c r="H7" s="28" t="s">
        <v>51</v>
      </c>
      <c r="I7" s="2" t="s">
        <v>39</v>
      </c>
      <c r="J7" s="3">
        <v>1</v>
      </c>
      <c r="K7" s="4">
        <f t="shared" si="0"/>
        <v>5</v>
      </c>
      <c r="L7" s="15" t="s">
        <v>47</v>
      </c>
      <c r="M7" s="29">
        <v>0.17</v>
      </c>
      <c r="N7" s="16">
        <f t="shared" si="1"/>
        <v>0.17</v>
      </c>
      <c r="O7" s="29">
        <v>0.17</v>
      </c>
      <c r="P7" s="16">
        <f t="shared" si="2"/>
        <v>0.85000000000000009</v>
      </c>
      <c r="Q7" s="30"/>
    </row>
    <row r="8" spans="1:17" ht="19.5" thickBot="1" x14ac:dyDescent="0.35">
      <c r="J8" s="42" t="s">
        <v>52</v>
      </c>
      <c r="K8" s="42"/>
      <c r="L8" s="42"/>
      <c r="M8" s="42"/>
      <c r="P8" s="37">
        <f>SUM(P3:P7)</f>
        <v>11.55</v>
      </c>
    </row>
    <row r="9" spans="1:17" ht="18.75" x14ac:dyDescent="0.3">
      <c r="J9" s="43" t="s">
        <v>53</v>
      </c>
      <c r="K9" s="43"/>
      <c r="L9" s="43"/>
      <c r="M9" s="43"/>
      <c r="N9" s="35">
        <f>SUM(N3:N7)</f>
        <v>2.31</v>
      </c>
      <c r="P9" s="36">
        <f>P8/5</f>
        <v>2.31</v>
      </c>
    </row>
  </sheetData>
  <mergeCells count="4">
    <mergeCell ref="B4:B5"/>
    <mergeCell ref="A1:Q1"/>
    <mergeCell ref="J8:M8"/>
    <mergeCell ref="J9:M9"/>
  </mergeCells>
  <conditionalFormatting sqref="J3:K7">
    <cfRule type="colorScale" priority="4">
      <colorScale>
        <cfvo type="min"/>
        <cfvo type="max"/>
        <color rgb="FF63BE7B"/>
        <color rgb="FFFFEF9C"/>
      </colorScale>
    </cfRule>
  </conditionalFormatting>
  <conditionalFormatting sqref="N3:N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{FB757569-8C9C-40C2-B9A7-E3CDE34A18E8}</x14:id>
        </ext>
      </extLst>
    </cfRule>
  </conditionalFormatting>
  <conditionalFormatting sqref="P3:P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{8E769E26-320F-4B7F-AA71-FB4D7A9776DA}</x14:id>
        </ext>
      </extLst>
    </cfRule>
  </conditionalFormatting>
  <conditionalFormatting sqref="N9:P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{CAE7F713-39F3-4324-B373-B536413A3E63}</x14:id>
        </ext>
      </extLst>
    </cfRule>
  </conditionalFormatting>
  <hyperlinks>
    <hyperlink ref="L3" r:id="rId1"/>
    <hyperlink ref="L4" r:id="rId2"/>
    <hyperlink ref="L5" r:id="rId3"/>
    <hyperlink ref="L6" r:id="rId4"/>
    <hyperlink ref="L7" r:id="rId5"/>
  </hyperlinks>
  <pageMargins left="0.7" right="0.7" top="0.75" bottom="0.75" header="0.3" footer="0.3"/>
  <pageSetup orientation="portrait"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757569-8C9C-40C2-B9A7-E3CDE34A18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N3:N7</xm:sqref>
        </x14:conditionalFormatting>
        <x14:conditionalFormatting xmlns:xm="http://schemas.microsoft.com/office/excel/2006/main">
          <x14:cfRule type="dataBar" id="{8E769E26-320F-4B7F-AA71-FB4D7A9776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P3:P7</xm:sqref>
        </x14:conditionalFormatting>
        <x14:conditionalFormatting xmlns:xm="http://schemas.microsoft.com/office/excel/2006/main">
          <x14:cfRule type="dataBar" id="{CAE7F713-39F3-4324-B373-B536413A3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N9:P9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2021-05-22T05:55:47Z</dcterms:created>
  <dcterms:modified xsi:type="dcterms:W3CDTF">2021-05-22T07:02:04Z</dcterms:modified>
</cp:coreProperties>
</file>