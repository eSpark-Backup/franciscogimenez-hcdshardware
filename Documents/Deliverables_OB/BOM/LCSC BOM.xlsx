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itHub\Francisco-Gimenez\Documents\Deliverables_OB\BOM\"/>
    </mc:Choice>
  </mc:AlternateContent>
  <bookViews>
    <workbookView xWindow="0" yWindow="0" windowWidth="24000" windowHeight="9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9" i="1" l="1"/>
  <c r="S8" i="1"/>
  <c r="Q8" i="1"/>
  <c r="P9" i="1"/>
  <c r="S4" i="1" l="1"/>
  <c r="S5" i="1"/>
  <c r="S6" i="1"/>
  <c r="S7" i="1"/>
  <c r="S3" i="1"/>
  <c r="Q4" i="1"/>
  <c r="Q5" i="1"/>
  <c r="Q6" i="1"/>
  <c r="Q7" i="1"/>
  <c r="Q3" i="1"/>
  <c r="P4" i="1"/>
  <c r="P5" i="1"/>
  <c r="P6" i="1"/>
  <c r="P7" i="1"/>
  <c r="P3" i="1"/>
  <c r="M7" i="1" l="1"/>
  <c r="M6" i="1"/>
  <c r="M5" i="1"/>
  <c r="M4" i="1"/>
  <c r="M3" i="1"/>
</calcChain>
</file>

<file path=xl/sharedStrings.xml><?xml version="1.0" encoding="utf-8"?>
<sst xmlns="http://schemas.openxmlformats.org/spreadsheetml/2006/main" count="68" uniqueCount="61">
  <si>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</si>
  <si>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</si>
  <si>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</si>
  <si>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</si>
  <si>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</si>
  <si>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</si>
  <si>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</si>
  <si>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</si>
  <si>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</si>
  <si>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</si>
  <si>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LCSC/MOQ</t>
  </si>
  <si>
    <t>Quantity (Per Board)</t>
  </si>
  <si>
    <t>Quantity 5</t>
  </si>
  <si>
    <t>LCSC Link</t>
  </si>
  <si>
    <t>Unit Cost(1)</t>
  </si>
  <si>
    <t>Total Cost(1)</t>
  </si>
  <si>
    <t>Unit Cost (5 Boards)</t>
  </si>
  <si>
    <t>Total Cost (5)</t>
  </si>
  <si>
    <t>Remarks</t>
  </si>
  <si>
    <t>Capacitor</t>
  </si>
  <si>
    <t>CAP CER 10000PF 16V X5R 0201</t>
  </si>
  <si>
    <t>C1</t>
  </si>
  <si>
    <t>Cap 0201</t>
  </si>
  <si>
    <t>GRM033R61C103KA12D</t>
  </si>
  <si>
    <t>Murata</t>
  </si>
  <si>
    <t>0.01uF</t>
  </si>
  <si>
    <t>Resistor</t>
  </si>
  <si>
    <t>Res Thick Film 0201 470 Ohm 5% 0.05W(1/20W) ±200ppm/C Molded SMD Paper T/R</t>
  </si>
  <si>
    <t>R1</t>
  </si>
  <si>
    <t>Res-0201</t>
  </si>
  <si>
    <t>RC0201JR-07470RL</t>
  </si>
  <si>
    <t>Yageo</t>
  </si>
  <si>
    <t>470R</t>
  </si>
  <si>
    <t>Res Thick Film 0201 220 Ohm 1% 1/20W ±200ppm/°C Molded SMD SMD Paper T/R</t>
  </si>
  <si>
    <t>R2</t>
  </si>
  <si>
    <t>RC0201FR-07220RL</t>
  </si>
  <si>
    <t>220R</t>
  </si>
  <si>
    <t>IC</t>
  </si>
  <si>
    <t>QRD1114 Series 30 V 50 mA Phototransistor Reflective Object Sensor</t>
  </si>
  <si>
    <t>U1</t>
  </si>
  <si>
    <t>Custom</t>
  </si>
  <si>
    <t>QRD1114</t>
  </si>
  <si>
    <t>On Semiconductor</t>
  </si>
  <si>
    <t>------</t>
  </si>
  <si>
    <t>Connector</t>
  </si>
  <si>
    <t xml:space="preserve">CONN HEADER VERT 3POS 2.5MM
</t>
  </si>
  <si>
    <t>J1</t>
  </si>
  <si>
    <t>B3B-XH-A(LF)(SN)</t>
  </si>
  <si>
    <t xml:space="preserve"> 
JST Sales America Inc.</t>
  </si>
  <si>
    <t>----</t>
  </si>
  <si>
    <t>LCSC</t>
  </si>
  <si>
    <t>C163491</t>
  </si>
  <si>
    <t>C161472</t>
  </si>
  <si>
    <t>C274342</t>
  </si>
  <si>
    <t>C258245</t>
  </si>
  <si>
    <t>C144394</t>
  </si>
  <si>
    <t>MOQ Total</t>
  </si>
  <si>
    <t>less Stock</t>
  </si>
  <si>
    <t xml:space="preserve">Total Component Cost </t>
  </si>
  <si>
    <t>Single Board Cost</t>
  </si>
  <si>
    <t>Bill of Material (BOM) for  Optical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</si>
</sst>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&quot;$&quot;#,##0.000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rial"/>
      <family val="2"/>
    </font>
    <font>
      <b/>
      <sz val="12"/>
      <name val="Calibri"/>
      <family val="2"/>
      <scheme val="minor"/>
    </font>
    <font>
      <sz val="10"/>
      <color rgb="FF333333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7" fillId="0" borderId="5" xfId="0" applyFont="1" applyBorder="1"/>
    <xf numFmtId="0" fontId="0" fillId="0" borderId="5" xfId="0" applyBorder="1"/>
    <xf numFmtId="0" fontId="6" fillId="0" borderId="5" xfId="1" applyBorder="1"/>
    <xf numFmtId="0" fontId="0" fillId="0" borderId="10" xfId="0" applyBorder="1"/>
    <xf numFmtId="0" fontId="7" fillId="0" borderId="6" xfId="0" applyFont="1" applyBorder="1"/>
    <xf numFmtId="0" fontId="0" fillId="0" borderId="6" xfId="0" applyBorder="1"/>
    <xf numFmtId="0" fontId="6" fillId="0" borderId="6" xfId="1" applyBorder="1"/>
    <xf numFmtId="0" fontId="0" fillId="0" borderId="11" xfId="0" applyBorder="1"/>
    <xf numFmtId="0" fontId="7" fillId="0" borderId="7" xfId="0" applyFont="1" applyBorder="1"/>
    <xf numFmtId="0" fontId="0" fillId="0" borderId="7" xfId="0" applyBorder="1"/>
    <xf numFmtId="0" fontId="6" fillId="0" borderId="7" xfId="1" applyBorder="1"/>
    <xf numFmtId="0" fontId="0" fillId="0" borderId="12" xfId="0" applyBorder="1"/>
    <xf numFmtId="0" fontId="1" fillId="2" borderId="2" xfId="0" applyFont="1" applyFill="1" applyBorder="1" applyAlignment="1">
      <alignment horizontal="center" vertical="center"/>
    </xf>
    <xf numFmtId="0" fontId="4" fillId="0" borderId="13" xfId="0" quotePrefix="1" applyFont="1" applyBorder="1" applyAlignment="1">
      <alignment vertical="center"/>
    </xf>
    <xf numFmtId="0" fontId="4" fillId="0" borderId="14" xfId="0" quotePrefix="1" applyFont="1" applyBorder="1" applyAlignment="1">
      <alignment vertical="center"/>
    </xf>
    <xf numFmtId="0" fontId="4" fillId="0" borderId="15" xfId="0" quotePrefix="1" applyFont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165" fontId="0" fillId="0" borderId="5" xfId="0" applyNumberFormat="1" applyFont="1" applyBorder="1"/>
    <xf numFmtId="164" fontId="0" fillId="0" borderId="5" xfId="0" applyNumberFormat="1" applyFont="1" applyBorder="1"/>
    <xf numFmtId="165" fontId="0" fillId="0" borderId="6" xfId="0" applyNumberFormat="1" applyFont="1" applyBorder="1"/>
    <xf numFmtId="164" fontId="0" fillId="0" borderId="6" xfId="0" applyNumberFormat="1" applyFont="1" applyBorder="1"/>
    <xf numFmtId="165" fontId="0" fillId="0" borderId="7" xfId="0" applyNumberFormat="1" applyFont="1" applyBorder="1"/>
    <xf numFmtId="164" fontId="0" fillId="0" borderId="7" xfId="0" applyNumberFormat="1" applyFont="1" applyBorder="1"/>
    <xf numFmtId="165" fontId="9" fillId="0" borderId="5" xfId="0" applyNumberFormat="1" applyFont="1" applyBorder="1"/>
    <xf numFmtId="165" fontId="10" fillId="0" borderId="6" xfId="0" applyNumberFormat="1" applyFont="1" applyBorder="1"/>
    <xf numFmtId="165" fontId="10" fillId="0" borderId="7" xfId="0" applyNumberFormat="1" applyFont="1" applyBorder="1"/>
    <xf numFmtId="165" fontId="10" fillId="0" borderId="5" xfId="0" applyNumberFormat="1" applyFont="1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wrapText="1"/>
    </xf>
    <xf numFmtId="0" fontId="8" fillId="3" borderId="0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csc.com/product-detail/Chip-Resistor-Surface-Mount_YAGEO-RC0201FR-07220RL_C274342.html" TargetMode="External"/><Relationship Id="rId2" Type="http://schemas.openxmlformats.org/officeDocument/2006/relationships/hyperlink" Target="https://lcsc.com/product-detail/Chip-Resistor-Surface-Mount_YAGEO-RC0201JR-07470RL_C163491.html" TargetMode="External"/><Relationship Id="rId1" Type="http://schemas.openxmlformats.org/officeDocument/2006/relationships/hyperlink" Target="https://lcsc.com/product-detail/Multilayer-Ceramic-Capacitors-MLCC-SMD-SMT_Murata-Electronics-GRM033R61C103KA12D_C161472.html" TargetMode="External"/><Relationship Id="rId5" Type="http://schemas.openxmlformats.org/officeDocument/2006/relationships/hyperlink" Target="https://lcsc.com/product-detail/Wire-To-Board-Wire-To-Wire-Connector_JST-Sales-America-B3B-XH-A-LF-SN_C144394.html" TargetMode="External"/><Relationship Id="rId4" Type="http://schemas.openxmlformats.org/officeDocument/2006/relationships/hyperlink" Target="https://lcsc.com/product-detail/Optical-Sensors_ON-Semiconductor-ON-QRD1114_C25824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abSelected="1" workbookViewId="0">
      <selection activeCell="D19" sqref="D19"/>
    </sheetView>
  </sheetViews>
  <sheetFormatPr defaultRowHeight="15" x14ac:dyDescent="0.25"/>
  <cols>
    <col min="2" max="2" width="12.28515625" bestFit="1" customWidth="1"/>
    <col min="3" max="3" width="68.85546875" bestFit="1" customWidth="1"/>
    <col min="4" max="4" width="10.5703125" bestFit="1" customWidth="1"/>
    <col min="5" max="5" width="18.5703125" bestFit="1" customWidth="1"/>
    <col min="6" max="6" width="25.28515625" bestFit="1" customWidth="1"/>
    <col min="7" max="7" width="19.7109375" bestFit="1" customWidth="1"/>
    <col min="8" max="8" width="12.5703125" bestFit="1" customWidth="1"/>
    <col min="11" max="11" width="10.7109375" bestFit="1" customWidth="1"/>
    <col min="13" max="13" width="10.140625" bestFit="1" customWidth="1"/>
    <col min="15" max="15" width="11.5703125" bestFit="1" customWidth="1"/>
    <col min="16" max="16" width="12.140625" bestFit="1" customWidth="1"/>
    <col min="17" max="18" width="18.7109375" bestFit="1" customWidth="1"/>
    <col min="19" max="19" width="12.5703125" bestFit="1" customWidth="1"/>
  </cols>
  <sheetData>
    <row r="1" spans="1:20" ht="16.5" thickBot="1" x14ac:dyDescent="0.3">
      <c r="A1" s="47" t="s">
        <v>60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2" spans="1:20" ht="15.75" thickBot="1" x14ac:dyDescent="0.3">
      <c r="A2" s="1" t="s">
        <v>0</v>
      </c>
      <c r="B2" s="14" t="s">
        <v>1</v>
      </c>
      <c r="C2" s="27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56</v>
      </c>
      <c r="R2" s="14" t="s">
        <v>16</v>
      </c>
      <c r="S2" s="14" t="s">
        <v>17</v>
      </c>
      <c r="T2" s="14" t="s">
        <v>18</v>
      </c>
    </row>
    <row r="3" spans="1:20" ht="16.5" thickBot="1" x14ac:dyDescent="0.3">
      <c r="A3" s="13">
        <v>1</v>
      </c>
      <c r="B3" s="31" t="s">
        <v>19</v>
      </c>
      <c r="C3" s="28" t="s">
        <v>20</v>
      </c>
      <c r="D3" s="2" t="s">
        <v>21</v>
      </c>
      <c r="E3" s="2" t="s">
        <v>22</v>
      </c>
      <c r="F3" s="2" t="s">
        <v>23</v>
      </c>
      <c r="G3" s="3" t="s">
        <v>24</v>
      </c>
      <c r="H3" s="15" t="s">
        <v>52</v>
      </c>
      <c r="I3" s="16"/>
      <c r="J3" s="2" t="s">
        <v>25</v>
      </c>
      <c r="K3" s="16">
        <v>100</v>
      </c>
      <c r="L3" s="4">
        <v>1</v>
      </c>
      <c r="M3" s="5">
        <f>L3*5</f>
        <v>5</v>
      </c>
      <c r="N3" s="17" t="s">
        <v>50</v>
      </c>
      <c r="O3" s="38">
        <v>2.3999999999999998E-3</v>
      </c>
      <c r="P3" s="32">
        <f>O3*1</f>
        <v>2.3999999999999998E-3</v>
      </c>
      <c r="Q3" s="33">
        <f>O3*K3</f>
        <v>0.24</v>
      </c>
      <c r="R3" s="38">
        <v>2.3999999999999998E-3</v>
      </c>
      <c r="S3" s="33">
        <f>R3*5</f>
        <v>1.1999999999999999E-2</v>
      </c>
      <c r="T3" s="18"/>
    </row>
    <row r="4" spans="1:20" ht="16.5" thickBot="1" x14ac:dyDescent="0.3">
      <c r="A4" s="13">
        <v>2</v>
      </c>
      <c r="B4" s="45" t="s">
        <v>26</v>
      </c>
      <c r="C4" s="29" t="s">
        <v>27</v>
      </c>
      <c r="D4" s="6" t="s">
        <v>28</v>
      </c>
      <c r="E4" s="6" t="s">
        <v>29</v>
      </c>
      <c r="F4" s="6" t="s">
        <v>30</v>
      </c>
      <c r="G4" s="7" t="s">
        <v>31</v>
      </c>
      <c r="H4" s="19" t="s">
        <v>51</v>
      </c>
      <c r="I4" s="20"/>
      <c r="J4" s="6" t="s">
        <v>32</v>
      </c>
      <c r="K4" s="20">
        <v>100</v>
      </c>
      <c r="L4" s="8">
        <v>1</v>
      </c>
      <c r="M4" s="8">
        <f t="shared" ref="M4:M7" si="0">L4*5</f>
        <v>5</v>
      </c>
      <c r="N4" s="21" t="s">
        <v>50</v>
      </c>
      <c r="O4" s="39">
        <v>1.2999999999999999E-3</v>
      </c>
      <c r="P4" s="34">
        <f t="shared" ref="P4:P7" si="1">O4*1</f>
        <v>1.2999999999999999E-3</v>
      </c>
      <c r="Q4" s="35">
        <f t="shared" ref="Q4:Q7" si="2">O4*K4</f>
        <v>0.13</v>
      </c>
      <c r="R4" s="39">
        <v>1.2999999999999999E-3</v>
      </c>
      <c r="S4" s="35">
        <f t="shared" ref="S4:S7" si="3">R4*5</f>
        <v>6.4999999999999997E-3</v>
      </c>
      <c r="T4" s="22"/>
    </row>
    <row r="5" spans="1:20" ht="16.5" thickBot="1" x14ac:dyDescent="0.3">
      <c r="A5" s="13">
        <v>3</v>
      </c>
      <c r="B5" s="46"/>
      <c r="C5" s="30" t="s">
        <v>33</v>
      </c>
      <c r="D5" s="9" t="s">
        <v>34</v>
      </c>
      <c r="E5" s="9" t="s">
        <v>29</v>
      </c>
      <c r="F5" s="9" t="s">
        <v>35</v>
      </c>
      <c r="G5" s="10" t="s">
        <v>31</v>
      </c>
      <c r="H5" s="23" t="s">
        <v>53</v>
      </c>
      <c r="I5" s="24"/>
      <c r="J5" s="9" t="s">
        <v>36</v>
      </c>
      <c r="K5" s="24">
        <v>100</v>
      </c>
      <c r="L5" s="11">
        <v>1</v>
      </c>
      <c r="M5" s="12">
        <f t="shared" si="0"/>
        <v>5</v>
      </c>
      <c r="N5" s="25" t="s">
        <v>50</v>
      </c>
      <c r="O5" s="40">
        <v>1.6000000000000001E-3</v>
      </c>
      <c r="P5" s="36">
        <f t="shared" si="1"/>
        <v>1.6000000000000001E-3</v>
      </c>
      <c r="Q5" s="37">
        <f t="shared" si="2"/>
        <v>0.16</v>
      </c>
      <c r="R5" s="40">
        <v>1.6000000000000001E-3</v>
      </c>
      <c r="S5" s="37">
        <f t="shared" si="3"/>
        <v>8.0000000000000002E-3</v>
      </c>
      <c r="T5" s="26"/>
    </row>
    <row r="6" spans="1:20" ht="16.5" thickBot="1" x14ac:dyDescent="0.3">
      <c r="A6" s="13">
        <v>4</v>
      </c>
      <c r="B6" s="31" t="s">
        <v>37</v>
      </c>
      <c r="C6" s="28" t="s">
        <v>38</v>
      </c>
      <c r="D6" s="2" t="s">
        <v>39</v>
      </c>
      <c r="E6" s="2" t="s">
        <v>40</v>
      </c>
      <c r="F6" s="2" t="s">
        <v>41</v>
      </c>
      <c r="G6" s="3" t="s">
        <v>42</v>
      </c>
      <c r="H6" s="15" t="s">
        <v>54</v>
      </c>
      <c r="I6" s="16"/>
      <c r="J6" s="2" t="s">
        <v>43</v>
      </c>
      <c r="K6" s="16">
        <v>5</v>
      </c>
      <c r="L6" s="5">
        <v>1</v>
      </c>
      <c r="M6" s="5">
        <f t="shared" si="0"/>
        <v>5</v>
      </c>
      <c r="N6" s="17" t="s">
        <v>50</v>
      </c>
      <c r="O6" s="41">
        <v>1.0346</v>
      </c>
      <c r="P6" s="32">
        <f t="shared" si="1"/>
        <v>1.0346</v>
      </c>
      <c r="Q6" s="33">
        <f t="shared" si="2"/>
        <v>5.173</v>
      </c>
      <c r="R6" s="41">
        <v>1.0346</v>
      </c>
      <c r="S6" s="33">
        <f t="shared" si="3"/>
        <v>5.173</v>
      </c>
      <c r="T6" s="18" t="s">
        <v>57</v>
      </c>
    </row>
    <row r="7" spans="1:20" ht="16.5" thickBot="1" x14ac:dyDescent="0.3">
      <c r="A7" s="13">
        <v>5</v>
      </c>
      <c r="B7" s="31" t="s">
        <v>44</v>
      </c>
      <c r="C7" s="28" t="s">
        <v>45</v>
      </c>
      <c r="D7" s="2" t="s">
        <v>46</v>
      </c>
      <c r="E7" s="2" t="s">
        <v>40</v>
      </c>
      <c r="F7" s="2" t="s">
        <v>47</v>
      </c>
      <c r="G7" s="3" t="s">
        <v>48</v>
      </c>
      <c r="H7" s="15" t="s">
        <v>55</v>
      </c>
      <c r="I7" s="16"/>
      <c r="J7" s="2" t="s">
        <v>49</v>
      </c>
      <c r="K7" s="16">
        <v>10</v>
      </c>
      <c r="L7" s="4">
        <v>1</v>
      </c>
      <c r="M7" s="5">
        <f t="shared" si="0"/>
        <v>5</v>
      </c>
      <c r="N7" s="17" t="s">
        <v>50</v>
      </c>
      <c r="O7" s="38">
        <v>4.5900000000000003E-2</v>
      </c>
      <c r="P7" s="32">
        <f t="shared" si="1"/>
        <v>4.5900000000000003E-2</v>
      </c>
      <c r="Q7" s="33">
        <f t="shared" si="2"/>
        <v>0.45900000000000002</v>
      </c>
      <c r="R7" s="38">
        <v>4.5900000000000003E-2</v>
      </c>
      <c r="S7" s="33">
        <f t="shared" si="3"/>
        <v>0.22950000000000001</v>
      </c>
      <c r="T7" s="18"/>
    </row>
    <row r="8" spans="1:20" ht="16.5" thickBot="1" x14ac:dyDescent="0.3">
      <c r="J8" s="49" t="s">
        <v>58</v>
      </c>
      <c r="K8" s="49"/>
      <c r="L8" s="49"/>
      <c r="M8" s="49"/>
      <c r="P8" s="42"/>
      <c r="Q8" s="43">
        <f>SUM(Q3:Q7)</f>
        <v>6.1619999999999999</v>
      </c>
      <c r="R8" s="42"/>
      <c r="S8" s="43">
        <f>SUM(S3:S7)</f>
        <v>5.4290000000000003</v>
      </c>
    </row>
    <row r="9" spans="1:20" ht="15.75" x14ac:dyDescent="0.25">
      <c r="J9" s="50" t="s">
        <v>59</v>
      </c>
      <c r="K9" s="50"/>
      <c r="L9" s="50"/>
      <c r="M9" s="50"/>
      <c r="P9" s="44">
        <f>SUM(P3:P7)</f>
        <v>1.0858000000000001</v>
      </c>
      <c r="Q9" s="42"/>
      <c r="R9" s="42"/>
      <c r="S9" s="43">
        <f>S8/5</f>
        <v>1.0858000000000001</v>
      </c>
    </row>
  </sheetData>
  <mergeCells count="4">
    <mergeCell ref="B4:B5"/>
    <mergeCell ref="A1:T1"/>
    <mergeCell ref="J8:M8"/>
    <mergeCell ref="J9:M9"/>
  </mergeCells>
  <conditionalFormatting sqref="L3:M7">
    <cfRule type="colorScale" priority="4">
      <colorScale>
        <cfvo type="min"/>
        <cfvo type="max"/>
        <color rgb="FF63BE7B"/>
        <color rgb="FFFFEF9C"/>
      </colorScale>
    </cfRule>
  </conditionalFormatting>
  <conditionalFormatting sqref="P9:S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{29196510-73AA-4D19-AF97-A63282991646}</x14:id>
        </ext>
      </extLst>
    </cfRule>
  </conditionalFormatting>
  <conditionalFormatting sqref="P3:P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{976FF5BD-2286-4735-9C5E-E80EF2490C62}</x14:id>
        </ext>
      </extLst>
    </cfRule>
  </conditionalFormatting>
  <conditionalFormatting sqref="R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{01791204-1631-4EFB-B3A0-4894DFDBAF73}</x14:id>
        </ext>
      </extLst>
    </cfRule>
  </conditionalFormatting>
  <hyperlinks>
    <hyperlink ref="N3" r:id="rId1"/>
    <hyperlink ref="N4" r:id="rId2"/>
    <hyperlink ref="N5" r:id="rId3"/>
    <hyperlink ref="N6" r:id="rId4"/>
    <hyperlink ref="N7" r:id="rId5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196510-73AA-4D19-AF97-A632829916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P9:S9</xm:sqref>
        </x14:conditionalFormatting>
        <x14:conditionalFormatting xmlns:xm="http://schemas.microsoft.com/office/excel/2006/main">
          <x14:cfRule type="dataBar" id="{976FF5BD-2286-4735-9C5E-E80EF2490C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P3:P7</xm:sqref>
        </x14:conditionalFormatting>
        <x14:conditionalFormatting xmlns:xm="http://schemas.microsoft.com/office/excel/2006/main">
          <x14:cfRule type="dataBar" id="{01791204-1631-4EFB-B3A0-4894DFDBA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2021-05-22T06:39:19Z</dcterms:created>
  <dcterms:modified xsi:type="dcterms:W3CDTF">2021-05-22T07:02:00Z</dcterms:modified>
</cp:coreProperties>
</file>