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qar\Desktop\New folder\Deliverables_PB\BOM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P15" i="1" s="1"/>
  <c r="K3" i="1"/>
  <c r="N17" i="1" l="1"/>
  <c r="P16" i="1" l="1"/>
  <c r="P17" i="1" s="1"/>
</calcChain>
</file>

<file path=xl/sharedStrings.xml><?xml version="1.0" encoding="utf-8"?>
<sst xmlns="http://schemas.openxmlformats.org/spreadsheetml/2006/main" count="129" uniqueCount="95">
  <si>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</si>
  <si>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</si>
  <si>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</si>
  <si>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</si>
  <si>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</si>
  <si>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</si>
  <si>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</si>
  <si>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</si>
  <si>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</si>
  <si>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</si>
  <si>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</si>
  <si>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</si>
  <si>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</si>
  <si>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</si>
  <si>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</si>
  <si>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CAP CER 4.7UF 25V X5R 0603</t>
  </si>
  <si>
    <t>Diode</t>
  </si>
  <si>
    <t>LED 0402</t>
  </si>
  <si>
    <t>R5</t>
  </si>
  <si>
    <t>ICS</t>
  </si>
  <si>
    <t>U1</t>
  </si>
  <si>
    <t>Connectors</t>
  </si>
  <si>
    <t>CONN RCP USB3.1 TYPEC 24P SMD RA</t>
  </si>
  <si>
    <t>2305018-2</t>
  </si>
  <si>
    <t>Test Point ON</t>
  </si>
  <si>
    <t>0.1uF</t>
  </si>
  <si>
    <t>4.7uF</t>
  </si>
  <si>
    <t>5.1K</t>
  </si>
  <si>
    <t>Digikey</t>
  </si>
  <si>
    <t>Total Cost (5)</t>
  </si>
  <si>
    <t>Remarks</t>
  </si>
  <si>
    <t xml:space="preserve">Total Component Cost </t>
  </si>
  <si>
    <t>Single Board Cost</t>
  </si>
  <si>
    <t>Custom</t>
  </si>
  <si>
    <t>Capacitors</t>
  </si>
  <si>
    <t>Resistors</t>
  </si>
  <si>
    <t>Bill of Material (BOM) for  Francisco Gimenez (P/B)</t>
  </si>
  <si>
    <t>C1, C4, C5</t>
  </si>
  <si>
    <t>Cap0603</t>
  </si>
  <si>
    <t>C1608X5R1E475M080AC</t>
  </si>
  <si>
    <t>CAP CER 0.1UF 25V X6S 0201</t>
  </si>
  <si>
    <t>C2, C3, C6</t>
  </si>
  <si>
    <t>CAP 0201</t>
  </si>
  <si>
    <t>GRM033C81E104KE14D</t>
  </si>
  <si>
    <t>D1</t>
  </si>
  <si>
    <t>SOT-143-4</t>
  </si>
  <si>
    <t>SP0503BAHTG</t>
  </si>
  <si>
    <t>LED BLUE CLEAR CHIP SMD 0402</t>
  </si>
  <si>
    <t>LED1, LED2</t>
  </si>
  <si>
    <t>APHHS1005QBC/D</t>
  </si>
  <si>
    <t>RES 1K OHM 1% 1/20W 0201</t>
  </si>
  <si>
    <t>R1</t>
  </si>
  <si>
    <t>Res-0201</t>
  </si>
  <si>
    <t>RC0201FR-071KP</t>
  </si>
  <si>
    <t>RES SMD 470 OHM 5% 1/20W 0201</t>
  </si>
  <si>
    <t>R2, R3</t>
  </si>
  <si>
    <t>RC0201JR-07470RL</t>
  </si>
  <si>
    <t>RES 22.1K OHM 1% 1/20W 0201</t>
  </si>
  <si>
    <t>R4</t>
  </si>
  <si>
    <t>RMCF0201FT22K1</t>
  </si>
  <si>
    <t>RES 47.5K OHM 1% 1/20W 0201</t>
  </si>
  <si>
    <t>RK73H1HTTC4752F</t>
  </si>
  <si>
    <t>RES 5.1K OHM 0.1% 1/20W 0201</t>
  </si>
  <si>
    <t>R6, R7</t>
  </si>
  <si>
    <t>ERA-1AEB512C</t>
  </si>
  <si>
    <t>1K</t>
  </si>
  <si>
    <t>470R</t>
  </si>
  <si>
    <t>22.1K</t>
  </si>
  <si>
    <t>47.5K</t>
  </si>
  <si>
    <t>IC USB TO UART BRIDGE QFN28</t>
  </si>
  <si>
    <t>28-QFN (5x5)</t>
  </si>
  <si>
    <t>CP2102N-A02-GQFN28R</t>
  </si>
  <si>
    <t>J1</t>
  </si>
  <si>
    <t>CONN RCPT USB2.0 MICRO B SMD R/A</t>
  </si>
  <si>
    <t>J2</t>
  </si>
  <si>
    <t>10118194-0001LF</t>
  </si>
  <si>
    <t>P1, P2, P3, P4, P5, P6</t>
  </si>
  <si>
    <t>TEST POINT</t>
  </si>
  <si>
    <t xml:space="preserve">
TDK Corporation</t>
  </si>
  <si>
    <t xml:space="preserve"> 
Murata Electronics</t>
  </si>
  <si>
    <t xml:space="preserve">TMK063C6104KP-F
</t>
  </si>
  <si>
    <t>Future Electronics</t>
  </si>
  <si>
    <t xml:space="preserve">TVS DIODE 5.5V 8.5V SOT143-4
</t>
  </si>
  <si>
    <t xml:space="preserve"> 
Littelfuse Inc.</t>
  </si>
  <si>
    <t>-----------</t>
  </si>
  <si>
    <t>-----</t>
  </si>
  <si>
    <t xml:space="preserve"> 
Kingbright</t>
  </si>
  <si>
    <t xml:space="preserve">
Yageo</t>
  </si>
  <si>
    <t xml:space="preserve">
Stackpole Electronics Inc</t>
  </si>
  <si>
    <t xml:space="preserve">
KOA Speer Electronics, Inc</t>
  </si>
  <si>
    <t xml:space="preserve">
Panasonic Electronic Components</t>
  </si>
  <si>
    <t xml:space="preserve">
Silicon Labs</t>
  </si>
  <si>
    <t xml:space="preserve">
TE Connectivity AMP Connectors</t>
  </si>
  <si>
    <t xml:space="preserve">
Amphenol ICC (FCI)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</si>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</sst>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.0000"/>
    <numFmt numFmtId="166" formatCode="_(&quot;$&quot;* #,##0.0000_);_(&quot;$&quot;* \(#,##0.0000\);_(&quot;$&quot;* &quot;-&quot;??_);_(@_)"/>
    <numFmt numFmtId="167" formatCode="_-[$$-409]* #,##0.00_ ;_-[$$-409]* \-#,##0.00\ ;_-[$$-409]* &quot;-&quot;??_ ;_-@_ "/>
  </numFmts>
  <fonts count="13" x14ac:knownFonts="1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3" xfId="1" applyFont="1" applyBorder="1" applyAlignment="1" applyProtection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6" xfId="1" applyFont="1" applyBorder="1" applyAlignment="1" applyProtection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0" borderId="0" xfId="0" applyFont="1" applyBorder="1"/>
    <xf numFmtId="166" fontId="0" fillId="0" borderId="0" xfId="0" applyNumberFormat="1" applyFont="1" applyBorder="1"/>
    <xf numFmtId="164" fontId="0" fillId="0" borderId="0" xfId="0" applyNumberFormat="1" applyFont="1" applyBorder="1"/>
    <xf numFmtId="164" fontId="0" fillId="0" borderId="0" xfId="0" applyNumberFormat="1" applyBorder="1"/>
    <xf numFmtId="166" fontId="0" fillId="0" borderId="0" xfId="0" applyNumberFormat="1" applyBorder="1"/>
    <xf numFmtId="0" fontId="2" fillId="3" borderId="3" xfId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1" fillId="0" borderId="2" xfId="1" applyFont="1" applyBorder="1" applyAlignment="1" applyProtection="1">
      <alignment horizontal="center" vertical="center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1" applyFont="1" applyBorder="1" applyAlignment="1" applyProtection="1">
      <alignment horizontal="center" vertical="center"/>
    </xf>
    <xf numFmtId="0" fontId="1" fillId="0" borderId="3" xfId="1" applyFont="1" applyBorder="1" applyAlignment="1" applyProtection="1">
      <alignment horizontal="center" vertical="center"/>
    </xf>
    <xf numFmtId="0" fontId="1" fillId="0" borderId="3" xfId="1" applyFont="1" applyBorder="1" applyAlignment="1" applyProtection="1">
      <alignment horizontal="center" vertical="center" wrapText="1"/>
    </xf>
    <xf numFmtId="0" fontId="4" fillId="0" borderId="19" xfId="0" quotePrefix="1" applyFont="1" applyBorder="1" applyAlignment="1">
      <alignment horizontal="center" vertical="center" wrapText="1"/>
    </xf>
    <xf numFmtId="0" fontId="2" fillId="0" borderId="19" xfId="1" applyFont="1" applyBorder="1" applyAlignment="1" applyProtection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19" xfId="1" applyFont="1" applyBorder="1" applyAlignment="1" applyProtection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0" fontId="4" fillId="0" borderId="20" xfId="0" quotePrefix="1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1" xfId="0" quotePrefix="1" applyFont="1" applyBorder="1" applyAlignment="1">
      <alignment vertical="center" wrapText="1"/>
    </xf>
    <xf numFmtId="0" fontId="4" fillId="0" borderId="11" xfId="0" quotePrefix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 wrapText="1"/>
    </xf>
    <xf numFmtId="0" fontId="9" fillId="0" borderId="15" xfId="0" applyFont="1" applyBorder="1" applyAlignment="1">
      <alignment horizontal="center"/>
    </xf>
    <xf numFmtId="0" fontId="11" fillId="5" borderId="22" xfId="0" quotePrefix="1" applyFont="1" applyFill="1" applyBorder="1" applyAlignment="1">
      <alignment horizontal="left" vertical="top" wrapText="1"/>
    </xf>
    <xf numFmtId="0" fontId="11" fillId="5" borderId="23" xfId="0" quotePrefix="1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/>
    </xf>
    <xf numFmtId="0" fontId="11" fillId="5" borderId="23" xfId="0" quotePrefix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165" fontId="11" fillId="5" borderId="23" xfId="0" quotePrefix="1" applyNumberFormat="1" applyFont="1" applyFill="1" applyBorder="1" applyAlignment="1">
      <alignment horizontal="center" vertical="center"/>
    </xf>
    <xf numFmtId="167" fontId="12" fillId="5" borderId="24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wrapText="1"/>
    </xf>
    <xf numFmtId="0" fontId="6" fillId="4" borderId="0" xfId="0" applyFont="1" applyFill="1" applyBorder="1" applyAlignment="1">
      <alignment horizontal="center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oa-speer-electronics-inc/RK73H1HTTC4752F/9843838?s=N4IgTCBcDaIEoGkDsBmAEgRjQFWwYQBYkBWMAMRAF0BfIA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futureelectronics.com/p/4171229?utm_source=octopart.com&amp;utm_medium=cpcbuynow&amp;utm_content=instock&amp;utm_campaign=Octopart_Ext_Referals" TargetMode="External"/><Relationship Id="rId7" Type="http://schemas.openxmlformats.org/officeDocument/2006/relationships/hyperlink" Target="https://www.digikey.com/en/products/detail/stackpole-electronics-inc/RMCF0201FT22K1/5965887?s=N4IgTCBcDaIEoFkDCAxADGNBGFAVMYA0liALoC%2BQA" TargetMode="External"/><Relationship Id="rId12" Type="http://schemas.openxmlformats.org/officeDocument/2006/relationships/hyperlink" Target="https://www.digikey.com/en/products/detail/amphenol-icc-fci/10118194-0001LF/2785389?s=N4IgTCBcDaIIwAY5wBxwJwBYC0C9wBkAxEAXQF8g" TargetMode="External"/><Relationship Id="rId2" Type="http://schemas.openxmlformats.org/officeDocument/2006/relationships/hyperlink" Target="https://www.digikey.com/en/products/detail/taiyo-yuden/TMK063C6104KP-F/5810986" TargetMode="External"/><Relationship Id="rId1" Type="http://schemas.openxmlformats.org/officeDocument/2006/relationships/hyperlink" Target="https://www.digikey.com/en/products/detail/tdk-corporation/C1608X5R1E475M080AC/3648583?s=N4IgTCBcDaIMIEYBsAGAHADQKwCUEFEAWAdiwFl0UBBOEAXQF8g" TargetMode="External"/><Relationship Id="rId6" Type="http://schemas.openxmlformats.org/officeDocument/2006/relationships/hyperlink" Target="https://www.digikey.com/en/products/detail/yageo/RC0201JR-07470RL/1948953?s=N4IgTCBcDaIEoGEAMYkEYBScC0SDsALHknADIgC6AvkA" TargetMode="External"/><Relationship Id="rId11" Type="http://schemas.openxmlformats.org/officeDocument/2006/relationships/hyperlink" Target="https://www.digikey.com/en/products/detail/te-connectivity-amp-connectors/2305018-2/8680920" TargetMode="External"/><Relationship Id="rId5" Type="http://schemas.openxmlformats.org/officeDocument/2006/relationships/hyperlink" Target="https://www.digikey.com/en/products/detail/yageo/RC0201FR-071KP/12698916?s=N4IgTCBcDaIEoGEAMYkEYBicC0SDsaA0gAogC6AvkA" TargetMode="External"/><Relationship Id="rId10" Type="http://schemas.openxmlformats.org/officeDocument/2006/relationships/hyperlink" Target="https://www.digikey.com/en/products/detail/silicon-labs/CP2102N-A02-GQFN28R/9863480?s=N4IgTCBcDaIMIAUwEYAMYByBaAgurA4gIoBiGYAHAEogC6AvkA" TargetMode="External"/><Relationship Id="rId4" Type="http://schemas.openxmlformats.org/officeDocument/2006/relationships/hyperlink" Target="https://www.digikey.com/en/products/detail/kingbright/APHHS1005QBC-D/2263568?s=N4IgTCBcDaIIIAUASSDKBGADJgrARQCEBhAegBEQBdAXyA" TargetMode="External"/><Relationship Id="rId9" Type="http://schemas.openxmlformats.org/officeDocument/2006/relationships/hyperlink" Target="https://www.digikey.com/en/products/detail/panasonic-electronic-components/ERA-1AEB512C/13149171?s=N4IgTCBcDaIKICUCCBaAjEuAhArGsAwi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topLeftCell="E1" zoomScale="85" zoomScaleNormal="85" workbookViewId="0">
      <selection activeCell="O22" sqref="O22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34.7109375" bestFit="1" customWidth="1"/>
    <col min="4" max="4" width="19.140625" style="34" bestFit="1" customWidth="1"/>
    <col min="5" max="5" width="18.5703125" style="34" bestFit="1" customWidth="1"/>
    <col min="6" max="6" width="25.28515625" style="34" bestFit="1" customWidth="1"/>
    <col min="7" max="7" width="29.7109375" bestFit="1" customWidth="1"/>
    <col min="8" max="8" width="17.140625" bestFit="1" customWidth="1"/>
    <col min="9" max="9" width="6.140625" style="34" bestFit="1" customWidth="1"/>
    <col min="10" max="10" width="19.42578125" style="33" bestFit="1" customWidth="1"/>
    <col min="11" max="11" width="10.140625" bestFit="1" customWidth="1"/>
    <col min="12" max="12" width="16.28515625" bestFit="1" customWidth="1"/>
    <col min="13" max="13" width="11.42578125" bestFit="1" customWidth="1"/>
    <col min="14" max="14" width="12.140625" bestFit="1" customWidth="1"/>
    <col min="15" max="15" width="18.5703125" bestFit="1" customWidth="1"/>
    <col min="16" max="16" width="14" bestFit="1" customWidth="1"/>
    <col min="17" max="17" width="14.140625" bestFit="1" customWidth="1"/>
  </cols>
  <sheetData>
    <row r="1" spans="1:17" ht="16.5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9"/>
    </row>
    <row r="2" spans="1:17" ht="15.75" thickBot="1" x14ac:dyDescent="0.3">
      <c r="A2" s="31" t="s">
        <v>0</v>
      </c>
      <c r="B2" s="44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44" t="s">
        <v>10</v>
      </c>
      <c r="L2" s="44" t="s">
        <v>11</v>
      </c>
      <c r="M2" s="44" t="s">
        <v>12</v>
      </c>
      <c r="N2" s="44" t="s">
        <v>13</v>
      </c>
      <c r="O2" s="44" t="s">
        <v>14</v>
      </c>
      <c r="P2" s="44" t="s">
        <v>29</v>
      </c>
      <c r="Q2" s="44" t="s">
        <v>30</v>
      </c>
    </row>
    <row r="3" spans="1:17" ht="15.75" thickBot="1" x14ac:dyDescent="0.3">
      <c r="A3" s="20">
        <v>1</v>
      </c>
      <c r="B3" s="82" t="s">
        <v>34</v>
      </c>
      <c r="C3" s="64" t="s">
        <v>15</v>
      </c>
      <c r="D3" s="46" t="s">
        <v>37</v>
      </c>
      <c r="E3" s="46" t="s">
        <v>38</v>
      </c>
      <c r="F3" s="46" t="s">
        <v>39</v>
      </c>
      <c r="G3" s="12" t="s">
        <v>78</v>
      </c>
      <c r="H3" s="28" t="s">
        <v>84</v>
      </c>
      <c r="I3" s="46" t="s">
        <v>26</v>
      </c>
      <c r="J3" s="38">
        <v>3</v>
      </c>
      <c r="K3" s="13">
        <f>J3*5</f>
        <v>15</v>
      </c>
      <c r="L3" s="47" t="s">
        <v>28</v>
      </c>
      <c r="M3" s="15">
        <v>0.38</v>
      </c>
      <c r="N3" s="16">
        <f>M3*J3</f>
        <v>1.1400000000000001</v>
      </c>
      <c r="O3" s="15">
        <v>0.25800000000000001</v>
      </c>
      <c r="P3" s="16">
        <f>O3*K3</f>
        <v>3.87</v>
      </c>
      <c r="Q3" s="17"/>
    </row>
    <row r="4" spans="1:17" ht="15.75" thickBot="1" x14ac:dyDescent="0.3">
      <c r="A4" s="20">
        <v>2</v>
      </c>
      <c r="B4" s="83"/>
      <c r="C4" s="65" t="s">
        <v>40</v>
      </c>
      <c r="D4" s="48" t="s">
        <v>41</v>
      </c>
      <c r="E4" s="48" t="s">
        <v>42</v>
      </c>
      <c r="F4" s="48" t="s">
        <v>43</v>
      </c>
      <c r="G4" s="18" t="s">
        <v>79</v>
      </c>
      <c r="H4" s="30" t="s">
        <v>80</v>
      </c>
      <c r="I4" s="48" t="s">
        <v>25</v>
      </c>
      <c r="J4" s="49">
        <v>3</v>
      </c>
      <c r="K4" s="6">
        <f t="shared" ref="K4:K15" si="0">J4*5</f>
        <v>15</v>
      </c>
      <c r="L4" s="50" t="s">
        <v>28</v>
      </c>
      <c r="M4" s="10">
        <v>0.14000000000000001</v>
      </c>
      <c r="N4" s="19">
        <f t="shared" ref="N4:N15" si="1">M4*J4</f>
        <v>0.42000000000000004</v>
      </c>
      <c r="O4" s="10">
        <v>0.1</v>
      </c>
      <c r="P4" s="19">
        <f t="shared" ref="P4:P15" si="2">O4*K4</f>
        <v>1.5</v>
      </c>
      <c r="Q4" s="7"/>
    </row>
    <row r="5" spans="1:17" ht="15.75" thickBot="1" x14ac:dyDescent="0.3">
      <c r="A5" s="20">
        <v>3</v>
      </c>
      <c r="B5" s="82" t="s">
        <v>16</v>
      </c>
      <c r="C5" s="66" t="s">
        <v>82</v>
      </c>
      <c r="D5" s="46" t="s">
        <v>44</v>
      </c>
      <c r="E5" s="46" t="s">
        <v>45</v>
      </c>
      <c r="F5" s="46" t="s">
        <v>46</v>
      </c>
      <c r="G5" s="12" t="s">
        <v>83</v>
      </c>
      <c r="H5" s="28" t="s">
        <v>84</v>
      </c>
      <c r="I5" s="11" t="s">
        <v>85</v>
      </c>
      <c r="J5" s="14">
        <v>1</v>
      </c>
      <c r="K5" s="13">
        <f t="shared" si="0"/>
        <v>5</v>
      </c>
      <c r="L5" s="47" t="s">
        <v>81</v>
      </c>
      <c r="M5" s="15">
        <v>0.875</v>
      </c>
      <c r="N5" s="16">
        <f t="shared" si="1"/>
        <v>0.875</v>
      </c>
      <c r="O5" s="15">
        <v>0.875</v>
      </c>
      <c r="P5" s="16">
        <f t="shared" si="2"/>
        <v>4.375</v>
      </c>
      <c r="Q5" s="17"/>
    </row>
    <row r="6" spans="1:17" ht="15.75" thickBot="1" x14ac:dyDescent="0.3">
      <c r="A6" s="20">
        <v>4</v>
      </c>
      <c r="B6" s="83"/>
      <c r="C6" s="65" t="s">
        <v>47</v>
      </c>
      <c r="D6" s="48" t="s">
        <v>48</v>
      </c>
      <c r="E6" s="48" t="s">
        <v>17</v>
      </c>
      <c r="F6" s="48" t="s">
        <v>49</v>
      </c>
      <c r="G6" s="18" t="s">
        <v>86</v>
      </c>
      <c r="H6" s="30" t="s">
        <v>84</v>
      </c>
      <c r="I6" s="4" t="s">
        <v>85</v>
      </c>
      <c r="J6" s="5">
        <v>2</v>
      </c>
      <c r="K6" s="6">
        <f t="shared" si="0"/>
        <v>10</v>
      </c>
      <c r="L6" s="50" t="s">
        <v>28</v>
      </c>
      <c r="M6" s="10">
        <v>0.54</v>
      </c>
      <c r="N6" s="19">
        <f t="shared" si="1"/>
        <v>1.08</v>
      </c>
      <c r="O6" s="10">
        <v>0.33100000000000002</v>
      </c>
      <c r="P6" s="19">
        <f t="shared" si="2"/>
        <v>3.31</v>
      </c>
      <c r="Q6" s="7"/>
    </row>
    <row r="7" spans="1:17" ht="15.75" thickBot="1" x14ac:dyDescent="0.3">
      <c r="A7" s="20">
        <v>5</v>
      </c>
      <c r="B7" s="82" t="s">
        <v>35</v>
      </c>
      <c r="C7" s="64" t="s">
        <v>50</v>
      </c>
      <c r="D7" s="46" t="s">
        <v>51</v>
      </c>
      <c r="E7" s="46" t="s">
        <v>52</v>
      </c>
      <c r="F7" s="46" t="s">
        <v>53</v>
      </c>
      <c r="G7" s="12" t="s">
        <v>87</v>
      </c>
      <c r="H7" s="28" t="s">
        <v>84</v>
      </c>
      <c r="I7" s="46" t="s">
        <v>65</v>
      </c>
      <c r="J7" s="38">
        <v>1</v>
      </c>
      <c r="K7" s="13">
        <f t="shared" si="0"/>
        <v>5</v>
      </c>
      <c r="L7" s="47" t="s">
        <v>28</v>
      </c>
      <c r="M7" s="15">
        <v>0.13</v>
      </c>
      <c r="N7" s="16">
        <f t="shared" si="1"/>
        <v>0.13</v>
      </c>
      <c r="O7" s="15">
        <v>0.13</v>
      </c>
      <c r="P7" s="16">
        <f t="shared" si="2"/>
        <v>0.65</v>
      </c>
      <c r="Q7" s="17"/>
    </row>
    <row r="8" spans="1:17" s="32" customFormat="1" ht="15.75" thickBot="1" x14ac:dyDescent="0.3">
      <c r="A8" s="20">
        <v>6</v>
      </c>
      <c r="B8" s="84"/>
      <c r="C8" s="67" t="s">
        <v>54</v>
      </c>
      <c r="D8" s="29" t="s">
        <v>55</v>
      </c>
      <c r="E8" s="29" t="s">
        <v>52</v>
      </c>
      <c r="F8" s="29" t="s">
        <v>56</v>
      </c>
      <c r="G8" s="1" t="s">
        <v>87</v>
      </c>
      <c r="H8" s="29" t="s">
        <v>84</v>
      </c>
      <c r="I8" s="29" t="s">
        <v>66</v>
      </c>
      <c r="J8" s="2">
        <v>2</v>
      </c>
      <c r="K8" s="2">
        <f t="shared" si="0"/>
        <v>10</v>
      </c>
      <c r="L8" s="51" t="s">
        <v>28</v>
      </c>
      <c r="M8" s="9">
        <v>0.1</v>
      </c>
      <c r="N8" s="8">
        <f t="shared" si="1"/>
        <v>0.2</v>
      </c>
      <c r="O8" s="9">
        <v>2.9000000000000001E-2</v>
      </c>
      <c r="P8" s="8">
        <f t="shared" si="2"/>
        <v>0.29000000000000004</v>
      </c>
      <c r="Q8" s="3"/>
    </row>
    <row r="9" spans="1:17" ht="15.75" thickBot="1" x14ac:dyDescent="0.3">
      <c r="A9" s="20">
        <v>7</v>
      </c>
      <c r="B9" s="84"/>
      <c r="C9" s="68" t="s">
        <v>57</v>
      </c>
      <c r="D9" s="36" t="s">
        <v>58</v>
      </c>
      <c r="E9" s="36" t="s">
        <v>52</v>
      </c>
      <c r="F9" s="36" t="s">
        <v>59</v>
      </c>
      <c r="G9" s="1" t="s">
        <v>88</v>
      </c>
      <c r="H9" s="29" t="s">
        <v>84</v>
      </c>
      <c r="I9" s="36" t="s">
        <v>67</v>
      </c>
      <c r="J9" s="45">
        <v>1</v>
      </c>
      <c r="K9" s="2">
        <f t="shared" si="0"/>
        <v>5</v>
      </c>
      <c r="L9" s="51" t="s">
        <v>28</v>
      </c>
      <c r="M9" s="9">
        <v>0.1</v>
      </c>
      <c r="N9" s="8">
        <f t="shared" si="1"/>
        <v>0.1</v>
      </c>
      <c r="O9" s="9">
        <v>0.1</v>
      </c>
      <c r="P9" s="8">
        <f t="shared" si="2"/>
        <v>0.5</v>
      </c>
      <c r="Q9" s="3"/>
    </row>
    <row r="10" spans="1:17" ht="15.75" thickBot="1" x14ac:dyDescent="0.3">
      <c r="A10" s="20">
        <v>8</v>
      </c>
      <c r="B10" s="84"/>
      <c r="C10" s="68" t="s">
        <v>60</v>
      </c>
      <c r="D10" s="36" t="s">
        <v>18</v>
      </c>
      <c r="E10" s="36" t="s">
        <v>52</v>
      </c>
      <c r="F10" s="36" t="s">
        <v>61</v>
      </c>
      <c r="G10" s="1" t="s">
        <v>89</v>
      </c>
      <c r="H10" s="29" t="s">
        <v>84</v>
      </c>
      <c r="I10" s="36" t="s">
        <v>68</v>
      </c>
      <c r="J10" s="45">
        <v>1</v>
      </c>
      <c r="K10" s="2">
        <f t="shared" si="0"/>
        <v>5</v>
      </c>
      <c r="L10" s="51" t="s">
        <v>28</v>
      </c>
      <c r="M10" s="9">
        <v>0.1</v>
      </c>
      <c r="N10" s="8">
        <f t="shared" si="1"/>
        <v>0.1</v>
      </c>
      <c r="O10" s="9">
        <v>0.1</v>
      </c>
      <c r="P10" s="8">
        <f t="shared" si="2"/>
        <v>0.5</v>
      </c>
      <c r="Q10" s="3"/>
    </row>
    <row r="11" spans="1:17" ht="15.75" thickBot="1" x14ac:dyDescent="0.3">
      <c r="A11" s="20">
        <v>9</v>
      </c>
      <c r="B11" s="83"/>
      <c r="C11" s="65" t="s">
        <v>62</v>
      </c>
      <c r="D11" s="48" t="s">
        <v>63</v>
      </c>
      <c r="E11" s="48" t="s">
        <v>52</v>
      </c>
      <c r="F11" s="48" t="s">
        <v>64</v>
      </c>
      <c r="G11" s="18" t="s">
        <v>90</v>
      </c>
      <c r="H11" s="30" t="s">
        <v>84</v>
      </c>
      <c r="I11" s="48" t="s">
        <v>27</v>
      </c>
      <c r="J11" s="49">
        <v>2</v>
      </c>
      <c r="K11" s="6">
        <f t="shared" si="0"/>
        <v>10</v>
      </c>
      <c r="L11" s="50" t="s">
        <v>28</v>
      </c>
      <c r="M11" s="10">
        <v>0.36</v>
      </c>
      <c r="N11" s="19">
        <f t="shared" si="1"/>
        <v>0.72</v>
      </c>
      <c r="O11" s="10">
        <v>0.27700000000000002</v>
      </c>
      <c r="P11" s="19">
        <f t="shared" si="2"/>
        <v>2.7700000000000005</v>
      </c>
      <c r="Q11" s="7"/>
    </row>
    <row r="12" spans="1:17" ht="15.75" thickBot="1" x14ac:dyDescent="0.3">
      <c r="A12" s="35">
        <v>10</v>
      </c>
      <c r="B12" s="69" t="s">
        <v>19</v>
      </c>
      <c r="C12" s="62" t="s">
        <v>69</v>
      </c>
      <c r="D12" s="53" t="s">
        <v>20</v>
      </c>
      <c r="E12" s="53" t="s">
        <v>70</v>
      </c>
      <c r="F12" s="53" t="s">
        <v>71</v>
      </c>
      <c r="G12" s="54" t="s">
        <v>91</v>
      </c>
      <c r="H12" s="55" t="s">
        <v>84</v>
      </c>
      <c r="I12" s="56" t="s">
        <v>85</v>
      </c>
      <c r="J12" s="57">
        <v>1</v>
      </c>
      <c r="K12" s="58">
        <f t="shared" si="0"/>
        <v>5</v>
      </c>
      <c r="L12" s="59" t="s">
        <v>28</v>
      </c>
      <c r="M12" s="60">
        <v>1.47</v>
      </c>
      <c r="N12" s="61">
        <f t="shared" si="1"/>
        <v>1.47</v>
      </c>
      <c r="O12" s="60">
        <v>1.47</v>
      </c>
      <c r="P12" s="61">
        <f t="shared" si="2"/>
        <v>7.35</v>
      </c>
      <c r="Q12" s="63"/>
    </row>
    <row r="13" spans="1:17" s="32" customFormat="1" ht="15.75" thickBot="1" x14ac:dyDescent="0.3">
      <c r="A13" s="20">
        <v>11</v>
      </c>
      <c r="B13" s="82" t="s">
        <v>21</v>
      </c>
      <c r="C13" s="66" t="s">
        <v>22</v>
      </c>
      <c r="D13" s="28" t="s">
        <v>72</v>
      </c>
      <c r="E13" s="28" t="s">
        <v>33</v>
      </c>
      <c r="F13" s="28" t="s">
        <v>23</v>
      </c>
      <c r="G13" s="12" t="s">
        <v>92</v>
      </c>
      <c r="H13" s="28" t="s">
        <v>84</v>
      </c>
      <c r="I13" s="11" t="s">
        <v>85</v>
      </c>
      <c r="J13" s="14">
        <v>1</v>
      </c>
      <c r="K13" s="13">
        <f t="shared" si="0"/>
        <v>5</v>
      </c>
      <c r="L13" s="47" t="s">
        <v>28</v>
      </c>
      <c r="M13" s="15">
        <v>3</v>
      </c>
      <c r="N13" s="16">
        <f t="shared" si="1"/>
        <v>3</v>
      </c>
      <c r="O13" s="15">
        <v>3</v>
      </c>
      <c r="P13" s="16">
        <f t="shared" si="2"/>
        <v>15</v>
      </c>
      <c r="Q13" s="17"/>
    </row>
    <row r="14" spans="1:17" s="41" customFormat="1" ht="15.75" thickBot="1" x14ac:dyDescent="0.3">
      <c r="A14" s="37">
        <v>12</v>
      </c>
      <c r="B14" s="84"/>
      <c r="C14" s="68" t="s">
        <v>73</v>
      </c>
      <c r="D14" s="36" t="s">
        <v>74</v>
      </c>
      <c r="E14" s="36" t="s">
        <v>33</v>
      </c>
      <c r="F14" s="36" t="s">
        <v>75</v>
      </c>
      <c r="G14" s="26" t="s">
        <v>93</v>
      </c>
      <c r="H14" s="29" t="s">
        <v>84</v>
      </c>
      <c r="I14" s="42" t="s">
        <v>85</v>
      </c>
      <c r="J14" s="43">
        <v>1</v>
      </c>
      <c r="K14" s="45">
        <f t="shared" si="0"/>
        <v>5</v>
      </c>
      <c r="L14" s="52" t="s">
        <v>28</v>
      </c>
      <c r="M14" s="39">
        <v>0.48</v>
      </c>
      <c r="N14" s="8">
        <f t="shared" si="1"/>
        <v>0.48</v>
      </c>
      <c r="O14" s="39">
        <v>0.48</v>
      </c>
      <c r="P14" s="8">
        <f t="shared" si="2"/>
        <v>2.4</v>
      </c>
      <c r="Q14" s="40"/>
    </row>
    <row r="15" spans="1:17" ht="15.75" thickBot="1" x14ac:dyDescent="0.3">
      <c r="A15" s="27">
        <v>13</v>
      </c>
      <c r="B15" s="83"/>
      <c r="C15" s="70" t="s">
        <v>24</v>
      </c>
      <c r="D15" s="71" t="s">
        <v>76</v>
      </c>
      <c r="E15" s="71" t="s">
        <v>33</v>
      </c>
      <c r="F15" s="72" t="s">
        <v>77</v>
      </c>
      <c r="G15" s="73" t="s">
        <v>85</v>
      </c>
      <c r="H15" s="73" t="s">
        <v>85</v>
      </c>
      <c r="I15" s="73" t="s">
        <v>85</v>
      </c>
      <c r="J15" s="74">
        <v>6</v>
      </c>
      <c r="K15" s="74">
        <f t="shared" si="0"/>
        <v>30</v>
      </c>
      <c r="L15" s="73"/>
      <c r="M15" s="75"/>
      <c r="N15" s="75">
        <f t="shared" si="1"/>
        <v>0</v>
      </c>
      <c r="O15" s="75"/>
      <c r="P15" s="75">
        <f t="shared" si="2"/>
        <v>0</v>
      </c>
      <c r="Q15" s="76" t="s">
        <v>94</v>
      </c>
    </row>
    <row r="16" spans="1:17" ht="19.5" thickBot="1" x14ac:dyDescent="0.35">
      <c r="J16" s="80" t="s">
        <v>31</v>
      </c>
      <c r="K16" s="80"/>
      <c r="L16" s="80"/>
      <c r="M16" s="80"/>
      <c r="N16" s="21"/>
      <c r="O16" s="22"/>
      <c r="P16" s="23">
        <f>SUM(P3:P15)</f>
        <v>42.515000000000001</v>
      </c>
    </row>
    <row r="17" spans="10:16" ht="18.75" x14ac:dyDescent="0.3">
      <c r="J17" s="81" t="s">
        <v>32</v>
      </c>
      <c r="K17" s="81"/>
      <c r="L17" s="81"/>
      <c r="M17" s="81"/>
      <c r="N17" s="24">
        <f>SUM(N3:N15)</f>
        <v>9.7149999999999999</v>
      </c>
      <c r="O17" s="25"/>
      <c r="P17" s="24">
        <f>P16/5</f>
        <v>8.5030000000000001</v>
      </c>
    </row>
    <row r="52" ht="19.5" customHeight="1" x14ac:dyDescent="0.25"/>
    <row r="53" ht="18.75" customHeight="1" x14ac:dyDescent="0.25"/>
  </sheetData>
  <mergeCells count="7">
    <mergeCell ref="A1:Q1"/>
    <mergeCell ref="J16:M16"/>
    <mergeCell ref="J17:M17"/>
    <mergeCell ref="B3:B4"/>
    <mergeCell ref="B5:B6"/>
    <mergeCell ref="B7:B11"/>
    <mergeCell ref="B13:B15"/>
  </mergeCells>
  <conditionalFormatting sqref="N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{E28843A6-939A-4D81-986F-F3619153DF5E}</x14:id>
        </ext>
      </extLst>
    </cfRule>
  </conditionalFormatting>
  <conditionalFormatting sqref="P16:P17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{36ECBF5D-EFFC-4768-AC2E-9F5CCB8EA1CF}</x14:id>
        </ext>
      </extLst>
    </cfRule>
  </conditionalFormatting>
  <conditionalFormatting sqref="N3:N1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{B802BE45-AE6E-4AFB-92D7-CAE7DD159284}</x14:id>
        </ext>
      </extLst>
    </cfRule>
  </conditionalFormatting>
  <conditionalFormatting sqref="P3:P14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{423AC320-90C5-4685-9B12-A5EE24B441D5}</x14:id>
        </ext>
      </extLst>
    </cfRule>
  </conditionalFormatting>
  <conditionalFormatting sqref="J3:K1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:K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{D0F4C343-1407-4784-929E-6F019BBD0220}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</hyperlinks>
  <pageMargins left="0.7" right="0.7" top="0.75" bottom="0.75" header="0.3" footer="0.3"/>
  <pageSetup orientation="portrait"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8843A6-939A-4D81-986F-F3619153D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36ECBF5D-EFFC-4768-AC2E-9F5CCB8EA1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P16:P17</xm:sqref>
        </x14:conditionalFormatting>
        <x14:conditionalFormatting xmlns:xm="http://schemas.microsoft.com/office/excel/2006/main">
          <x14:cfRule type="dataBar" id="{B802BE45-AE6E-4AFB-92D7-CAE7DD159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N3:N14</xm:sqref>
        </x14:conditionalFormatting>
        <x14:conditionalFormatting xmlns:xm="http://schemas.microsoft.com/office/excel/2006/main">
          <x14:cfRule type="dataBar" id="{423AC320-90C5-4685-9B12-A5EE24B441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P3:P14</xm:sqref>
        </x14:conditionalFormatting>
        <x14:conditionalFormatting xmlns:xm="http://schemas.microsoft.com/office/excel/2006/main">
          <x14:cfRule type="dataBar" id="{D0F4C343-1407-4784-929E-6F019BBD02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Waqar</cp:lastModifiedBy>
  <dcterms:created xsi:type="dcterms:W3CDTF">2021-04-15T08:46:21Z</dcterms:created>
  <dcterms:modified xsi:type="dcterms:W3CDTF">2021-04-21T17:39:57Z</dcterms:modified>
</cp:coreProperties>
</file>