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Hub\Francisco-Gimenez\Documents\Deliverables_PB\BOM\"/>
    </mc:Choice>
  </mc:AlternateContent>
  <bookViews>
    <workbookView xWindow="0" yWindow="0" windowWidth="2370" windowHeight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" i="1" l="1"/>
  <c r="R14" i="1"/>
  <c r="P5" i="1" l="1"/>
  <c r="R15" i="1"/>
  <c r="R4" i="1"/>
  <c r="R6" i="1"/>
  <c r="R7" i="1"/>
  <c r="R8" i="1"/>
  <c r="R9" i="1"/>
  <c r="R10" i="1"/>
  <c r="R11" i="1"/>
  <c r="R3" i="1"/>
  <c r="P4" i="1"/>
  <c r="P6" i="1"/>
  <c r="P7" i="1"/>
  <c r="P8" i="1"/>
  <c r="P9" i="1"/>
  <c r="P10" i="1"/>
  <c r="P11" i="1"/>
  <c r="P12" i="1"/>
  <c r="P13" i="1"/>
  <c r="P14" i="1"/>
  <c r="P15" i="1"/>
  <c r="P3" i="1"/>
  <c r="M15" i="1"/>
  <c r="M14" i="1"/>
  <c r="M13" i="1"/>
  <c r="R13" i="1" s="1"/>
  <c r="M12" i="1"/>
  <c r="M11" i="1"/>
  <c r="M10" i="1"/>
  <c r="M9" i="1"/>
  <c r="M8" i="1"/>
  <c r="M7" i="1"/>
  <c r="M6" i="1"/>
  <c r="M5" i="1"/>
  <c r="R5" i="1" s="1"/>
  <c r="M4" i="1"/>
  <c r="M3" i="1"/>
  <c r="P17" i="1" l="1"/>
  <c r="R16" i="1" l="1"/>
  <c r="R17" i="1" s="1"/>
</calcChain>
</file>

<file path=xl/sharedStrings.xml><?xml version="1.0" encoding="utf-8"?>
<sst xmlns="http://schemas.openxmlformats.org/spreadsheetml/2006/main" count="145" uniqueCount="115">
  <si>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</si>
  <si>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</si>
  <si>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</si>
  <si>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</si>
  <si>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</si>
  <si>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</si>
  <si>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</si>
  <si>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</si>
  <si>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</si>
  <si>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</si>
  <si>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</si>
  <si>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Unit Cost(1)</t>
  </si>
  <si>
    <t>Total Cost(1)</t>
  </si>
  <si>
    <t>Unit Cost (5 Boards)</t>
  </si>
  <si>
    <t>CAP CER 4.7UF 25V X5R 0603</t>
  </si>
  <si>
    <t>CL10A475KA8NQNC</t>
  </si>
  <si>
    <t>Diode</t>
  </si>
  <si>
    <t>LED 0402</t>
  </si>
  <si>
    <t>R5</t>
  </si>
  <si>
    <t>U1</t>
  </si>
  <si>
    <t>CONN RCP USB3.1 TYPEC 24P SMD RA</t>
  </si>
  <si>
    <t>2305018-2</t>
  </si>
  <si>
    <t>Test Point ON</t>
  </si>
  <si>
    <t>0.1uF</t>
  </si>
  <si>
    <t>4.7uF</t>
  </si>
  <si>
    <t>5.1K</t>
  </si>
  <si>
    <t>Total Cost (5)</t>
  </si>
  <si>
    <t>Remarks</t>
  </si>
  <si>
    <t xml:space="preserve">Total Component Cost </t>
  </si>
  <si>
    <t>Single Board Cost</t>
  </si>
  <si>
    <t>Custom</t>
  </si>
  <si>
    <t>-------------</t>
  </si>
  <si>
    <t>Capacitors</t>
  </si>
  <si>
    <t xml:space="preserve">LCSC Part No </t>
  </si>
  <si>
    <t>C69335</t>
  </si>
  <si>
    <t>LCSC/MOQ</t>
  </si>
  <si>
    <t>LCSC Link</t>
  </si>
  <si>
    <t>LCSC</t>
  </si>
  <si>
    <t>C498674</t>
  </si>
  <si>
    <t>C1, C4, C5</t>
  </si>
  <si>
    <t>Cap0603</t>
  </si>
  <si>
    <t>C1608X5R1E475M080AC</t>
  </si>
  <si>
    <t xml:space="preserve">
TDK Corporation</t>
  </si>
  <si>
    <t>CAP CER 0.1UF 25V X6S 0201</t>
  </si>
  <si>
    <t>C2, C3, C6</t>
  </si>
  <si>
    <t>CAP 0201</t>
  </si>
  <si>
    <t>GRM033C81E104KE14D</t>
  </si>
  <si>
    <t xml:space="preserve"> 
Murata Electronics</t>
  </si>
  <si>
    <t xml:space="preserve">TVS DIODE 5.5V 8.5V SOT143-4
</t>
  </si>
  <si>
    <t>D1</t>
  </si>
  <si>
    <t>SOT-143-4</t>
  </si>
  <si>
    <t>SP0503BAHTG</t>
  </si>
  <si>
    <t xml:space="preserve"> 
Littelfuse Inc.</t>
  </si>
  <si>
    <t>LED BLUE CLEAR CHIP SMD 0402</t>
  </si>
  <si>
    <t>LED1, LED2</t>
  </si>
  <si>
    <t>APHHS1005QBC/D</t>
  </si>
  <si>
    <t xml:space="preserve"> 
Kingbright</t>
  </si>
  <si>
    <t>RES 1K OHM 1% 1/20W 0201</t>
  </si>
  <si>
    <t>R1</t>
  </si>
  <si>
    <t>Res-0201</t>
  </si>
  <si>
    <t>RC0201FR-071KP</t>
  </si>
  <si>
    <t xml:space="preserve">
Yageo</t>
  </si>
  <si>
    <t>RES SMD 470 OHM 5% 1/20W 0201</t>
  </si>
  <si>
    <t>R2, R3</t>
  </si>
  <si>
    <t>RC0201JR-07470RL</t>
  </si>
  <si>
    <t>RES 22.1K OHM 1% 1/20W 0201</t>
  </si>
  <si>
    <t>R4</t>
  </si>
  <si>
    <t>RMCF0201FT22K1</t>
  </si>
  <si>
    <t xml:space="preserve">
Stackpole Electronics Inc</t>
  </si>
  <si>
    <t>RES 47.5K OHM 1% 1/20W 0201</t>
  </si>
  <si>
    <t>RK73H1HTTC4752F</t>
  </si>
  <si>
    <t xml:space="preserve">
KOA Speer Electronics, Inc</t>
  </si>
  <si>
    <t>RES 5.1K OHM 0.1% 1/20W 0201</t>
  </si>
  <si>
    <t>R6, R7</t>
  </si>
  <si>
    <t>ERA-1AEB512C</t>
  </si>
  <si>
    <t xml:space="preserve">
Panasonic Electronic Components</t>
  </si>
  <si>
    <t>IC USB TO UART BRIDGE QFN28</t>
  </si>
  <si>
    <t>28-QFN (5x5)</t>
  </si>
  <si>
    <t>CP2102N-A02-GQFN28R</t>
  </si>
  <si>
    <t xml:space="preserve">
Silicon Labs</t>
  </si>
  <si>
    <t>J1</t>
  </si>
  <si>
    <t xml:space="preserve">
TE Connectivity AMP Connectors</t>
  </si>
  <si>
    <t>CONN RCPT USB2.0 MICRO B SMD R/A</t>
  </si>
  <si>
    <t>J2</t>
  </si>
  <si>
    <t>10118194-0001LF</t>
  </si>
  <si>
    <t xml:space="preserve">
Amphenol ICC (FCI)</t>
  </si>
  <si>
    <t>P1, P2, P3, P4, P5, P6</t>
  </si>
  <si>
    <t>TEST POINT</t>
  </si>
  <si>
    <t>-----</t>
  </si>
  <si>
    <t>1K</t>
  </si>
  <si>
    <t>470R</t>
  </si>
  <si>
    <t>22.1K</t>
  </si>
  <si>
    <t>47.5K</t>
  </si>
  <si>
    <t>GRM033R61E104KE14D</t>
  </si>
  <si>
    <t>C76939</t>
  </si>
  <si>
    <t>C7074</t>
  </si>
  <si>
    <t>C163491</t>
  </si>
  <si>
    <t xml:space="preserve">RC0201FR-0722K1L
</t>
  </si>
  <si>
    <t>C142019</t>
  </si>
  <si>
    <t>RTT014752FTH</t>
  </si>
  <si>
    <t>C166179</t>
  </si>
  <si>
    <t>RTT015101FTH</t>
  </si>
  <si>
    <t>C102734</t>
  </si>
  <si>
    <t>IC</t>
  </si>
  <si>
    <t>Resistor</t>
  </si>
  <si>
    <t>Connector</t>
  </si>
  <si>
    <t xml:space="preserve">TJ-S1005SW4TGLC6B-A5
</t>
  </si>
  <si>
    <t>C273603</t>
  </si>
  <si>
    <t>C138165</t>
  </si>
  <si>
    <t xml:space="preserve">RC0201FR-071KL
</t>
  </si>
  <si>
    <t>DO NOT Mount</t>
  </si>
  <si>
    <t>Bill of Material (BOM) for  Francisco Gimenez (PB)</t>
  </si>
  <si>
    <t>C132563</t>
  </si>
  <si>
    <t xml:space="preserve">C964632
</t>
  </si>
  <si>
    <t xml:space="preserve">Part NON stock LCSC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</si>
</sst>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"/>
    <numFmt numFmtId="165" formatCode="&quot;$&quot;#,##0.0000"/>
    <numFmt numFmtId="166" formatCode="_(&quot;$&quot;* #,##0.0000_);_(&quot;$&quot;* \(#,##0.0000\);_(&quot;$&quot;* &quot;-&quot;??_);_(@_)"/>
    <numFmt numFmtId="167" formatCode="_-[$$-409]* #,##0.00_ ;_-[$$-409]* \-#,##0.00\ ;_-[$$-409]* &quot;-&quot;??_ ;_-@_ "/>
  </numFmts>
  <fonts count="13" x14ac:knownFonts="1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3" xfId="1" applyFont="1" applyBorder="1" applyAlignment="1" applyProtection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" fillId="0" borderId="2" xfId="1" applyFont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6" xfId="1" applyFont="1" applyBorder="1" applyAlignment="1" applyProtection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8" fillId="0" borderId="0" xfId="0" applyFont="1" applyBorder="1"/>
    <xf numFmtId="166" fontId="0" fillId="0" borderId="0" xfId="0" applyNumberFormat="1" applyFont="1" applyBorder="1"/>
    <xf numFmtId="164" fontId="0" fillId="0" borderId="0" xfId="0" applyNumberFormat="1" applyFont="1" applyBorder="1"/>
    <xf numFmtId="164" fontId="0" fillId="0" borderId="0" xfId="0" applyNumberFormat="1" applyBorder="1"/>
    <xf numFmtId="166" fontId="0" fillId="0" borderId="0" xfId="0" applyNumberFormat="1" applyBorder="1"/>
    <xf numFmtId="0" fontId="4" fillId="0" borderId="2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7" fillId="3" borderId="19" xfId="0" quotePrefix="1" applyFont="1" applyFill="1" applyBorder="1" applyAlignment="1">
      <alignment horizontal="left" vertical="top" wrapText="1"/>
    </xf>
    <xf numFmtId="0" fontId="7" fillId="3" borderId="20" xfId="0" quotePrefix="1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20" xfId="0" quotePrefix="1" applyFont="1" applyFill="1" applyBorder="1" applyAlignment="1">
      <alignment horizontal="center" vertical="center"/>
    </xf>
    <xf numFmtId="0" fontId="5" fillId="0" borderId="21" xfId="0" quotePrefix="1" applyFont="1" applyBorder="1" applyAlignment="1">
      <alignment horizontal="center" vertical="center"/>
    </xf>
    <xf numFmtId="0" fontId="5" fillId="0" borderId="20" xfId="0" quotePrefix="1" applyFont="1" applyBorder="1" applyAlignment="1">
      <alignment horizontal="center" vertical="center"/>
    </xf>
    <xf numFmtId="0" fontId="1" fillId="0" borderId="3" xfId="1" applyBorder="1" applyAlignment="1" applyProtection="1">
      <alignment horizontal="center" vertical="center"/>
    </xf>
    <xf numFmtId="164" fontId="4" fillId="0" borderId="2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4" fillId="0" borderId="11" xfId="0" quotePrefix="1" applyFont="1" applyBorder="1" applyAlignment="1">
      <alignment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4" fillId="0" borderId="22" xfId="0" quotePrefix="1" applyFont="1" applyBorder="1" applyAlignment="1">
      <alignment vertical="center" wrapText="1"/>
    </xf>
    <xf numFmtId="0" fontId="4" fillId="0" borderId="23" xfId="0" quotePrefix="1" applyFont="1" applyBorder="1" applyAlignment="1">
      <alignment horizontal="center" vertical="center" wrapText="1"/>
    </xf>
    <xf numFmtId="0" fontId="2" fillId="0" borderId="23" xfId="1" applyFont="1" applyBorder="1" applyAlignment="1" applyProtection="1">
      <alignment horizontal="center" vertical="center"/>
    </xf>
    <xf numFmtId="0" fontId="5" fillId="0" borderId="23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" xfId="1" applyBorder="1" applyAlignment="1" applyProtection="1">
      <alignment horizontal="center" vertical="center"/>
    </xf>
    <xf numFmtId="0" fontId="1" fillId="0" borderId="20" xfId="1" applyBorder="1" applyAlignment="1" applyProtection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" fillId="0" borderId="6" xfId="1" applyBorder="1" applyAlignment="1" applyProtection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2" fillId="4" borderId="24" xfId="1" applyFont="1" applyFill="1" applyBorder="1" applyAlignment="1" applyProtection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0" fillId="0" borderId="0" xfId="0" applyAlignment="1"/>
    <xf numFmtId="0" fontId="10" fillId="0" borderId="16" xfId="0" applyFont="1" applyBorder="1" applyAlignment="1">
      <alignment horizontal="center"/>
    </xf>
    <xf numFmtId="0" fontId="4" fillId="0" borderId="23" xfId="0" quotePrefix="1" applyFont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65" fontId="7" fillId="3" borderId="20" xfId="0" quotePrefix="1" applyNumberFormat="1" applyFont="1" applyFill="1" applyBorder="1" applyAlignment="1">
      <alignment horizontal="center" vertical="center"/>
    </xf>
    <xf numFmtId="167" fontId="12" fillId="3" borderId="27" xfId="0" applyNumberFormat="1" applyFont="1" applyFill="1" applyBorder="1" applyAlignment="1">
      <alignment horizontal="center" vertical="center"/>
    </xf>
    <xf numFmtId="165" fontId="7" fillId="3" borderId="19" xfId="0" quotePrefix="1" applyNumberFormat="1" applyFont="1" applyFill="1" applyBorder="1" applyAlignment="1">
      <alignment horizontal="center" vertical="center"/>
    </xf>
    <xf numFmtId="167" fontId="12" fillId="3" borderId="6" xfId="0" applyNumberFormat="1" applyFont="1" applyFill="1" applyBorder="1" applyAlignment="1">
      <alignment horizontal="center" vertical="center"/>
    </xf>
    <xf numFmtId="0" fontId="1" fillId="0" borderId="23" xfId="1" applyBorder="1" applyAlignment="1" applyProtection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wrapText="1"/>
    </xf>
    <xf numFmtId="0" fontId="6" fillId="5" borderId="0" xfId="0" applyFont="1" applyFill="1" applyBorder="1" applyAlignment="1">
      <alignment horizontal="center" wrapText="1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5-1KR-5101-1_C102734.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lcsc.com/product-detail/TVS_Littelfuse-SP0503BAHTG_C7074.html" TargetMode="External"/><Relationship Id="rId7" Type="http://schemas.openxmlformats.org/officeDocument/2006/relationships/hyperlink" Target="https://lcsc.com/product-detail/Chip-Resistor-Surface-Mount_RALEC-RTT014752FTH_C166179.html" TargetMode="External"/><Relationship Id="rId12" Type="http://schemas.openxmlformats.org/officeDocument/2006/relationships/hyperlink" Target="https://lcsc.com/product-detail/USB-ICs_SILICON-LABS-CP2102N-A02-GQFN28R_C964632.html" TargetMode="External"/><Relationship Id="rId2" Type="http://schemas.openxmlformats.org/officeDocument/2006/relationships/hyperlink" Target="https://lcsc.com/product-detail/Multilayer-Ceramic-Capacitors-MLCC-SMD-SMT_Murata-Electronics-GRM033R61E104KE14D_C76939.html" TargetMode="External"/><Relationship Id="rId1" Type="http://schemas.openxmlformats.org/officeDocument/2006/relationships/hyperlink" Target="https://lcsc.com/product-detail/Multilayer-Ceramic-Capacitors-MLCC-SMD-SMT_Samsung-Electro-Mechanics-CL10A475KA8NQNC_C69335.html" TargetMode="External"/><Relationship Id="rId6" Type="http://schemas.openxmlformats.org/officeDocument/2006/relationships/hyperlink" Target="https://lcsc.com/product-detail/Chip-Resistor-Surface-Mount_22-1KR-2212-1_C142019.html" TargetMode="External"/><Relationship Id="rId11" Type="http://schemas.openxmlformats.org/officeDocument/2006/relationships/hyperlink" Target="https://lcsc.com/product-detail/USB-Connectors_Amphenol-ICC-10118194-0001LF_C132563.html" TargetMode="External"/><Relationship Id="rId5" Type="http://schemas.openxmlformats.org/officeDocument/2006/relationships/hyperlink" Target="https://lcsc.com/product-detail/USB-Connectors_TE-Connectivity-2305018-2_C498674.html" TargetMode="External"/><Relationship Id="rId10" Type="http://schemas.openxmlformats.org/officeDocument/2006/relationships/hyperlink" Target="https://lcsc.com/product-detail/Chip-Resistor-Surface-Mount_YAGEO-RC0201FR-071KL_C138165.html" TargetMode="External"/><Relationship Id="rId4" Type="http://schemas.openxmlformats.org/officeDocument/2006/relationships/hyperlink" Target="https://lcsc.com/product-detail/Chip-Resistor-Surface-Mount_YAGEO-RC0201JR-07470RL_C163491.html" TargetMode="External"/><Relationship Id="rId9" Type="http://schemas.openxmlformats.org/officeDocument/2006/relationships/hyperlink" Target="https://lcsc.com/product-detail/Light-Emitting-Diodes-LED_TOGIALED-TJ-S1005SW4TGLC6B-A5_C2736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abSelected="1" zoomScale="85" zoomScaleNormal="85" workbookViewId="0">
      <selection sqref="A1:S2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30.85546875" bestFit="1" customWidth="1"/>
    <col min="4" max="4" width="17.85546875" bestFit="1" customWidth="1"/>
    <col min="5" max="5" width="20.28515625" bestFit="1" customWidth="1"/>
    <col min="6" max="6" width="25.140625" bestFit="1" customWidth="1"/>
    <col min="7" max="7" width="29.7109375" bestFit="1" customWidth="1"/>
    <col min="8" max="8" width="16" bestFit="1" customWidth="1"/>
    <col min="9" max="9" width="20.28515625" bestFit="1" customWidth="1"/>
    <col min="10" max="10" width="6.140625" bestFit="1" customWidth="1"/>
    <col min="11" max="11" width="11.5703125" customWidth="1"/>
    <col min="12" max="12" width="19.42578125" bestFit="1" customWidth="1"/>
    <col min="13" max="13" width="10.140625" bestFit="1" customWidth="1"/>
    <col min="14" max="14" width="11.7109375" bestFit="1" customWidth="1"/>
    <col min="15" max="15" width="11.42578125" bestFit="1" customWidth="1"/>
    <col min="16" max="16" width="12.140625" bestFit="1" customWidth="1"/>
    <col min="17" max="17" width="18.5703125" bestFit="1" customWidth="1"/>
    <col min="18" max="18" width="14" bestFit="1" customWidth="1"/>
    <col min="19" max="19" width="17.5703125" bestFit="1" customWidth="1"/>
  </cols>
  <sheetData>
    <row r="1" spans="1:19" ht="16.5" thickBot="1" x14ac:dyDescent="0.3">
      <c r="A1" s="77" t="s">
        <v>111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9"/>
    </row>
    <row r="2" spans="1:19" ht="15.75" thickBot="1" x14ac:dyDescent="0.3">
      <c r="A2" s="29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33</v>
      </c>
      <c r="I2" s="30" t="s">
        <v>7</v>
      </c>
      <c r="J2" s="30" t="s">
        <v>8</v>
      </c>
      <c r="K2" s="30" t="s">
        <v>35</v>
      </c>
      <c r="L2" s="30" t="s">
        <v>9</v>
      </c>
      <c r="M2" s="30" t="s">
        <v>10</v>
      </c>
      <c r="N2" s="30" t="s">
        <v>36</v>
      </c>
      <c r="O2" s="30" t="s">
        <v>11</v>
      </c>
      <c r="P2" s="30" t="s">
        <v>12</v>
      </c>
      <c r="Q2" s="30" t="s">
        <v>13</v>
      </c>
      <c r="R2" s="30" t="s">
        <v>26</v>
      </c>
      <c r="S2" s="30" t="s">
        <v>27</v>
      </c>
    </row>
    <row r="3" spans="1:19" ht="15.75" thickBot="1" x14ac:dyDescent="0.3">
      <c r="A3" s="20">
        <v>1</v>
      </c>
      <c r="B3" s="82" t="s">
        <v>32</v>
      </c>
      <c r="C3" s="39" t="s">
        <v>14</v>
      </c>
      <c r="D3" s="40" t="s">
        <v>39</v>
      </c>
      <c r="E3" s="40" t="s">
        <v>40</v>
      </c>
      <c r="F3" s="40" t="s">
        <v>41</v>
      </c>
      <c r="G3" s="14" t="s">
        <v>42</v>
      </c>
      <c r="H3" s="35" t="s">
        <v>34</v>
      </c>
      <c r="I3" s="26" t="s">
        <v>15</v>
      </c>
      <c r="J3" s="40" t="s">
        <v>24</v>
      </c>
      <c r="K3" s="15">
        <v>20</v>
      </c>
      <c r="L3" s="51">
        <v>3</v>
      </c>
      <c r="M3" s="15">
        <f>L3*5</f>
        <v>15</v>
      </c>
      <c r="N3" s="56" t="s">
        <v>37</v>
      </c>
      <c r="O3" s="17">
        <v>2.5000000000000001E-2</v>
      </c>
      <c r="P3" s="38">
        <f>O3*K3</f>
        <v>0.5</v>
      </c>
      <c r="Q3" s="17">
        <v>2.5000000000000001E-2</v>
      </c>
      <c r="R3" s="38">
        <f>Q3*K3</f>
        <v>0.5</v>
      </c>
      <c r="S3" s="18"/>
    </row>
    <row r="4" spans="1:19" ht="15.75" thickBot="1" x14ac:dyDescent="0.3">
      <c r="A4" s="20">
        <v>2</v>
      </c>
      <c r="B4" s="83"/>
      <c r="C4" s="41" t="s">
        <v>43</v>
      </c>
      <c r="D4" s="42" t="s">
        <v>44</v>
      </c>
      <c r="E4" s="42" t="s">
        <v>45</v>
      </c>
      <c r="F4" s="42" t="s">
        <v>46</v>
      </c>
      <c r="G4" s="19" t="s">
        <v>47</v>
      </c>
      <c r="H4" s="6" t="s">
        <v>94</v>
      </c>
      <c r="I4" s="28" t="s">
        <v>93</v>
      </c>
      <c r="J4" s="42" t="s">
        <v>23</v>
      </c>
      <c r="K4" s="8">
        <v>50</v>
      </c>
      <c r="L4" s="52">
        <v>3</v>
      </c>
      <c r="M4" s="8">
        <f t="shared" ref="M4:M15" si="0">L4*5</f>
        <v>15</v>
      </c>
      <c r="N4" s="59" t="s">
        <v>37</v>
      </c>
      <c r="O4" s="12">
        <v>6.1000000000000004E-3</v>
      </c>
      <c r="P4" s="60">
        <f t="shared" ref="P4:P15" si="1">O4*K4</f>
        <v>0.30499999999999999</v>
      </c>
      <c r="Q4" s="12">
        <v>6.1000000000000004E-3</v>
      </c>
      <c r="R4" s="60">
        <f t="shared" ref="R4:R15" si="2">Q4*K4</f>
        <v>0.30499999999999999</v>
      </c>
      <c r="S4" s="9"/>
    </row>
    <row r="5" spans="1:19" ht="15.75" thickBot="1" x14ac:dyDescent="0.3">
      <c r="A5" s="20">
        <v>3</v>
      </c>
      <c r="B5" s="82" t="s">
        <v>16</v>
      </c>
      <c r="C5" s="43" t="s">
        <v>48</v>
      </c>
      <c r="D5" s="40" t="s">
        <v>49</v>
      </c>
      <c r="E5" s="40" t="s">
        <v>50</v>
      </c>
      <c r="F5" s="40" t="s">
        <v>51</v>
      </c>
      <c r="G5" s="14" t="s">
        <v>52</v>
      </c>
      <c r="H5" s="13" t="s">
        <v>95</v>
      </c>
      <c r="I5" s="26" t="s">
        <v>31</v>
      </c>
      <c r="J5" s="13" t="s">
        <v>88</v>
      </c>
      <c r="K5" s="15">
        <v>1</v>
      </c>
      <c r="L5" s="16">
        <v>1</v>
      </c>
      <c r="M5" s="15">
        <f t="shared" si="0"/>
        <v>5</v>
      </c>
      <c r="N5" s="56" t="s">
        <v>37</v>
      </c>
      <c r="O5" s="17">
        <v>0.23039999999999999</v>
      </c>
      <c r="P5" s="61">
        <f t="shared" si="1"/>
        <v>0.23039999999999999</v>
      </c>
      <c r="Q5" s="17">
        <v>0.23039999999999999</v>
      </c>
      <c r="R5" s="61">
        <f>Q5*M5</f>
        <v>1.1519999999999999</v>
      </c>
      <c r="S5" s="18"/>
    </row>
    <row r="6" spans="1:19" ht="15.75" thickBot="1" x14ac:dyDescent="0.3">
      <c r="A6" s="20">
        <v>4</v>
      </c>
      <c r="B6" s="83"/>
      <c r="C6" s="41" t="s">
        <v>53</v>
      </c>
      <c r="D6" s="42" t="s">
        <v>54</v>
      </c>
      <c r="E6" s="42" t="s">
        <v>17</v>
      </c>
      <c r="F6" s="42" t="s">
        <v>55</v>
      </c>
      <c r="G6" s="19" t="s">
        <v>56</v>
      </c>
      <c r="H6" s="6" t="s">
        <v>107</v>
      </c>
      <c r="I6" s="28" t="s">
        <v>106</v>
      </c>
      <c r="J6" s="6" t="s">
        <v>88</v>
      </c>
      <c r="K6" s="8">
        <v>10</v>
      </c>
      <c r="L6" s="7">
        <v>2</v>
      </c>
      <c r="M6" s="8">
        <f t="shared" si="0"/>
        <v>10</v>
      </c>
      <c r="N6" s="59" t="s">
        <v>37</v>
      </c>
      <c r="O6" s="12">
        <v>4.87E-2</v>
      </c>
      <c r="P6" s="60">
        <f t="shared" si="1"/>
        <v>0.48699999999999999</v>
      </c>
      <c r="Q6" s="12">
        <v>4.87E-2</v>
      </c>
      <c r="R6" s="60">
        <f t="shared" si="2"/>
        <v>0.48699999999999999</v>
      </c>
      <c r="S6" s="9"/>
    </row>
    <row r="7" spans="1:19" ht="15.75" thickBot="1" x14ac:dyDescent="0.3">
      <c r="A7" s="20">
        <v>5</v>
      </c>
      <c r="B7" s="82" t="s">
        <v>104</v>
      </c>
      <c r="C7" s="39" t="s">
        <v>57</v>
      </c>
      <c r="D7" s="40" t="s">
        <v>58</v>
      </c>
      <c r="E7" s="40" t="s">
        <v>59</v>
      </c>
      <c r="F7" s="40" t="s">
        <v>60</v>
      </c>
      <c r="G7" s="14" t="s">
        <v>61</v>
      </c>
      <c r="H7" s="13" t="s">
        <v>108</v>
      </c>
      <c r="I7" s="26" t="s">
        <v>109</v>
      </c>
      <c r="J7" s="40" t="s">
        <v>89</v>
      </c>
      <c r="K7" s="15">
        <v>100</v>
      </c>
      <c r="L7" s="51">
        <v>1</v>
      </c>
      <c r="M7" s="15">
        <f t="shared" si="0"/>
        <v>5</v>
      </c>
      <c r="N7" s="56" t="s">
        <v>37</v>
      </c>
      <c r="O7" s="17">
        <v>1.1999999999999999E-3</v>
      </c>
      <c r="P7" s="61">
        <f t="shared" si="1"/>
        <v>0.12</v>
      </c>
      <c r="Q7" s="17">
        <v>1.1999999999999999E-3</v>
      </c>
      <c r="R7" s="61">
        <f t="shared" si="2"/>
        <v>0.12</v>
      </c>
      <c r="S7" s="18"/>
    </row>
    <row r="8" spans="1:19" ht="15.75" thickBot="1" x14ac:dyDescent="0.3">
      <c r="A8" s="20">
        <v>6</v>
      </c>
      <c r="B8" s="84"/>
      <c r="C8" s="44" t="s">
        <v>62</v>
      </c>
      <c r="D8" s="27" t="s">
        <v>63</v>
      </c>
      <c r="E8" s="27" t="s">
        <v>59</v>
      </c>
      <c r="F8" s="27" t="s">
        <v>64</v>
      </c>
      <c r="G8" s="1" t="s">
        <v>61</v>
      </c>
      <c r="H8" s="2" t="s">
        <v>96</v>
      </c>
      <c r="I8" s="27" t="s">
        <v>31</v>
      </c>
      <c r="J8" s="27" t="s">
        <v>90</v>
      </c>
      <c r="K8" s="3">
        <v>100</v>
      </c>
      <c r="L8" s="3">
        <v>2</v>
      </c>
      <c r="M8" s="3">
        <f t="shared" si="0"/>
        <v>10</v>
      </c>
      <c r="N8" s="37" t="s">
        <v>37</v>
      </c>
      <c r="O8" s="11">
        <v>1.2999999999999999E-3</v>
      </c>
      <c r="P8" s="10">
        <f t="shared" si="1"/>
        <v>0.13</v>
      </c>
      <c r="Q8" s="11">
        <v>1.2999999999999999E-3</v>
      </c>
      <c r="R8" s="10">
        <f t="shared" si="2"/>
        <v>0.13</v>
      </c>
      <c r="S8" s="5"/>
    </row>
    <row r="9" spans="1:19" ht="15.75" thickBot="1" x14ac:dyDescent="0.3">
      <c r="A9" s="20">
        <v>7</v>
      </c>
      <c r="B9" s="84"/>
      <c r="C9" s="45" t="s">
        <v>65</v>
      </c>
      <c r="D9" s="46" t="s">
        <v>66</v>
      </c>
      <c r="E9" s="46" t="s">
        <v>59</v>
      </c>
      <c r="F9" s="46" t="s">
        <v>67</v>
      </c>
      <c r="G9" s="1" t="s">
        <v>68</v>
      </c>
      <c r="H9" s="2" t="s">
        <v>98</v>
      </c>
      <c r="I9" s="27" t="s">
        <v>97</v>
      </c>
      <c r="J9" s="46" t="s">
        <v>91</v>
      </c>
      <c r="K9" s="3">
        <v>100</v>
      </c>
      <c r="L9" s="53">
        <v>1</v>
      </c>
      <c r="M9" s="3">
        <f t="shared" si="0"/>
        <v>5</v>
      </c>
      <c r="N9" s="37" t="s">
        <v>37</v>
      </c>
      <c r="O9" s="11">
        <v>1.4E-3</v>
      </c>
      <c r="P9" s="10">
        <f t="shared" si="1"/>
        <v>0.13999999999999999</v>
      </c>
      <c r="Q9" s="11">
        <v>1.4E-3</v>
      </c>
      <c r="R9" s="10">
        <f t="shared" si="2"/>
        <v>0.13999999999999999</v>
      </c>
      <c r="S9" s="5"/>
    </row>
    <row r="10" spans="1:19" ht="15.75" thickBot="1" x14ac:dyDescent="0.3">
      <c r="A10" s="20">
        <v>8</v>
      </c>
      <c r="B10" s="84"/>
      <c r="C10" s="45" t="s">
        <v>69</v>
      </c>
      <c r="D10" s="46" t="s">
        <v>18</v>
      </c>
      <c r="E10" s="46" t="s">
        <v>59</v>
      </c>
      <c r="F10" s="46" t="s">
        <v>70</v>
      </c>
      <c r="G10" s="1" t="s">
        <v>71</v>
      </c>
      <c r="H10" s="2" t="s">
        <v>100</v>
      </c>
      <c r="I10" s="3" t="s">
        <v>99</v>
      </c>
      <c r="J10" s="46" t="s">
        <v>92</v>
      </c>
      <c r="K10" s="3">
        <v>100</v>
      </c>
      <c r="L10" s="53">
        <v>1</v>
      </c>
      <c r="M10" s="3">
        <f t="shared" si="0"/>
        <v>5</v>
      </c>
      <c r="N10" s="37" t="s">
        <v>37</v>
      </c>
      <c r="O10" s="11">
        <v>1.1999999999999999E-3</v>
      </c>
      <c r="P10" s="10">
        <f t="shared" si="1"/>
        <v>0.12</v>
      </c>
      <c r="Q10" s="11">
        <v>1.1999999999999999E-3</v>
      </c>
      <c r="R10" s="10">
        <f t="shared" si="2"/>
        <v>0.12</v>
      </c>
      <c r="S10" s="5"/>
    </row>
    <row r="11" spans="1:19" ht="15.75" thickBot="1" x14ac:dyDescent="0.3">
      <c r="A11" s="20">
        <v>9</v>
      </c>
      <c r="B11" s="83"/>
      <c r="C11" s="41" t="s">
        <v>72</v>
      </c>
      <c r="D11" s="42" t="s">
        <v>73</v>
      </c>
      <c r="E11" s="42" t="s">
        <v>59</v>
      </c>
      <c r="F11" s="42" t="s">
        <v>74</v>
      </c>
      <c r="G11" s="19" t="s">
        <v>75</v>
      </c>
      <c r="H11" s="6" t="s">
        <v>102</v>
      </c>
      <c r="I11" s="8" t="s">
        <v>101</v>
      </c>
      <c r="J11" s="42" t="s">
        <v>25</v>
      </c>
      <c r="K11" s="36">
        <v>100</v>
      </c>
      <c r="L11" s="52">
        <v>2</v>
      </c>
      <c r="M11" s="8">
        <f t="shared" si="0"/>
        <v>10</v>
      </c>
      <c r="N11" s="57" t="s">
        <v>37</v>
      </c>
      <c r="O11" s="12">
        <v>8.0000000000000004E-4</v>
      </c>
      <c r="P11" s="60">
        <f t="shared" si="1"/>
        <v>0.08</v>
      </c>
      <c r="Q11" s="12">
        <v>8.0000000000000004E-4</v>
      </c>
      <c r="R11" s="60">
        <f t="shared" si="2"/>
        <v>0.08</v>
      </c>
      <c r="S11" s="9"/>
    </row>
    <row r="12" spans="1:19" ht="15.75" thickBot="1" x14ac:dyDescent="0.3">
      <c r="A12" s="58">
        <v>10</v>
      </c>
      <c r="B12" s="65" t="s">
        <v>103</v>
      </c>
      <c r="C12" s="47" t="s">
        <v>76</v>
      </c>
      <c r="D12" s="48" t="s">
        <v>19</v>
      </c>
      <c r="E12" s="48" t="s">
        <v>77</v>
      </c>
      <c r="F12" s="48" t="s">
        <v>78</v>
      </c>
      <c r="G12" s="49" t="s">
        <v>79</v>
      </c>
      <c r="H12" s="54" t="s">
        <v>113</v>
      </c>
      <c r="I12" s="66"/>
      <c r="J12" s="50" t="s">
        <v>88</v>
      </c>
      <c r="K12" s="55">
        <v>1</v>
      </c>
      <c r="L12" s="54">
        <v>1</v>
      </c>
      <c r="M12" s="55">
        <f t="shared" si="0"/>
        <v>5</v>
      </c>
      <c r="N12" s="76" t="s">
        <v>37</v>
      </c>
      <c r="O12" s="67">
        <v>2.4344999999999999</v>
      </c>
      <c r="P12" s="68">
        <f t="shared" si="1"/>
        <v>2.4344999999999999</v>
      </c>
      <c r="Q12" s="67">
        <v>2.4344999999999999</v>
      </c>
      <c r="R12" s="68">
        <f>Q12*M12</f>
        <v>12.172499999999999</v>
      </c>
      <c r="S12" s="69" t="s">
        <v>114</v>
      </c>
    </row>
    <row r="13" spans="1:19" ht="15.75" thickBot="1" x14ac:dyDescent="0.3">
      <c r="A13" s="20">
        <v>11</v>
      </c>
      <c r="B13" s="82" t="s">
        <v>105</v>
      </c>
      <c r="C13" s="43" t="s">
        <v>20</v>
      </c>
      <c r="D13" s="26" t="s">
        <v>80</v>
      </c>
      <c r="E13" s="26" t="s">
        <v>30</v>
      </c>
      <c r="F13" s="26" t="s">
        <v>21</v>
      </c>
      <c r="G13" s="14" t="s">
        <v>81</v>
      </c>
      <c r="H13" s="70" t="s">
        <v>38</v>
      </c>
      <c r="I13" s="26" t="s">
        <v>31</v>
      </c>
      <c r="J13" s="13" t="s">
        <v>88</v>
      </c>
      <c r="K13" s="15">
        <v>1</v>
      </c>
      <c r="L13" s="16">
        <v>1</v>
      </c>
      <c r="M13" s="15">
        <f t="shared" si="0"/>
        <v>5</v>
      </c>
      <c r="N13" s="56" t="s">
        <v>37</v>
      </c>
      <c r="O13" s="17">
        <v>2.97</v>
      </c>
      <c r="P13" s="61">
        <f t="shared" si="1"/>
        <v>2.97</v>
      </c>
      <c r="Q13" s="17">
        <v>2.97</v>
      </c>
      <c r="R13" s="61">
        <f>Q13*M13</f>
        <v>14.850000000000001</v>
      </c>
      <c r="S13" s="18"/>
    </row>
    <row r="14" spans="1:19" s="64" customFormat="1" ht="15.75" thickBot="1" x14ac:dyDescent="0.3">
      <c r="A14" s="20">
        <v>12</v>
      </c>
      <c r="B14" s="84"/>
      <c r="C14" s="44" t="s">
        <v>82</v>
      </c>
      <c r="D14" s="27" t="s">
        <v>83</v>
      </c>
      <c r="E14" s="27" t="s">
        <v>30</v>
      </c>
      <c r="F14" s="27" t="s">
        <v>84</v>
      </c>
      <c r="G14" s="62" t="s">
        <v>85</v>
      </c>
      <c r="H14" s="4" t="s">
        <v>112</v>
      </c>
      <c r="I14" s="63" t="s">
        <v>31</v>
      </c>
      <c r="J14" s="2" t="s">
        <v>88</v>
      </c>
      <c r="K14" s="3">
        <v>1</v>
      </c>
      <c r="L14" s="4">
        <v>1</v>
      </c>
      <c r="M14" s="3">
        <f t="shared" si="0"/>
        <v>5</v>
      </c>
      <c r="N14" s="37" t="s">
        <v>37</v>
      </c>
      <c r="O14" s="11">
        <v>0.31480000000000002</v>
      </c>
      <c r="P14" s="10">
        <f t="shared" si="1"/>
        <v>0.31480000000000002</v>
      </c>
      <c r="Q14" s="11">
        <v>0.31480000000000002</v>
      </c>
      <c r="R14" s="10">
        <f>Q14*M14</f>
        <v>1.5740000000000001</v>
      </c>
      <c r="S14" s="69" t="s">
        <v>114</v>
      </c>
    </row>
    <row r="15" spans="1:19" ht="15.75" thickBot="1" x14ac:dyDescent="0.3">
      <c r="A15" s="71">
        <v>13</v>
      </c>
      <c r="B15" s="83"/>
      <c r="C15" s="31" t="s">
        <v>22</v>
      </c>
      <c r="D15" s="32" t="s">
        <v>86</v>
      </c>
      <c r="E15" s="32" t="s">
        <v>30</v>
      </c>
      <c r="F15" s="33" t="s">
        <v>87</v>
      </c>
      <c r="G15" s="34" t="s">
        <v>88</v>
      </c>
      <c r="H15" s="34" t="s">
        <v>88</v>
      </c>
      <c r="I15" s="34" t="s">
        <v>88</v>
      </c>
      <c r="J15" s="34" t="s">
        <v>88</v>
      </c>
      <c r="K15" s="34"/>
      <c r="L15" s="34">
        <v>6</v>
      </c>
      <c r="M15" s="72">
        <f t="shared" si="0"/>
        <v>30</v>
      </c>
      <c r="N15" s="72"/>
      <c r="O15" s="72"/>
      <c r="P15" s="72">
        <f t="shared" si="1"/>
        <v>0</v>
      </c>
      <c r="Q15" s="75"/>
      <c r="R15" s="74">
        <f t="shared" si="2"/>
        <v>0</v>
      </c>
      <c r="S15" s="73" t="s">
        <v>110</v>
      </c>
    </row>
    <row r="16" spans="1:19" ht="19.5" thickBot="1" x14ac:dyDescent="0.35">
      <c r="L16" s="80" t="s">
        <v>28</v>
      </c>
      <c r="M16" s="80"/>
      <c r="N16" s="80"/>
      <c r="O16" s="80"/>
      <c r="P16" s="21"/>
      <c r="Q16" s="22"/>
      <c r="R16" s="23">
        <f>SUM(R3:R15)</f>
        <v>31.630500000000001</v>
      </c>
    </row>
    <row r="17" spans="12:18" ht="18.75" x14ac:dyDescent="0.3">
      <c r="L17" s="81" t="s">
        <v>29</v>
      </c>
      <c r="M17" s="81"/>
      <c r="N17" s="81"/>
      <c r="O17" s="81"/>
      <c r="P17" s="24">
        <f>SUM(P3:P15)</f>
        <v>7.8316999999999997</v>
      </c>
      <c r="Q17" s="25"/>
      <c r="R17" s="24">
        <f>R16/5</f>
        <v>6.3261000000000003</v>
      </c>
    </row>
    <row r="52" ht="19.5" customHeight="1" x14ac:dyDescent="0.25"/>
    <row r="53" ht="18.75" customHeight="1" x14ac:dyDescent="0.25"/>
  </sheetData>
  <mergeCells count="7">
    <mergeCell ref="A1:S1"/>
    <mergeCell ref="L16:O16"/>
    <mergeCell ref="L17:O17"/>
    <mergeCell ref="B3:B4"/>
    <mergeCell ref="B5:B6"/>
    <mergeCell ref="B7:B11"/>
    <mergeCell ref="B13:B15"/>
  </mergeCells>
  <conditionalFormatting sqref="P1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{E28843A6-939A-4D81-986F-F3619153DF5E}</x14:id>
        </ext>
      </extLst>
    </cfRule>
  </conditionalFormatting>
  <conditionalFormatting sqref="R16:R17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{36ECBF5D-EFFC-4768-AC2E-9F5CCB8EA1CF}</x14:id>
        </ext>
      </extLst>
    </cfRule>
  </conditionalFormatting>
  <conditionalFormatting sqref="L3:M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{B802BE45-AE6E-4AFB-92D7-CAE7DD159284}</x14:id>
        </ext>
      </extLst>
    </cfRule>
  </conditionalFormatting>
  <conditionalFormatting sqref="R3:R14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{423AC320-90C5-4685-9B12-A5EE24B441D5}</x14:id>
        </ext>
      </extLst>
    </cfRule>
  </conditionalFormatting>
  <conditionalFormatting sqref="Q15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{C6D344D2-5CD8-4C0C-8B51-936CCD22876C}</x14:id>
        </ext>
      </extLst>
    </cfRule>
  </conditionalFormatting>
  <conditionalFormatting sqref="S1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{79F27B77-FC5B-485F-9FEF-E6D1F4D07B78}</x14:id>
        </ext>
      </extLst>
    </cfRule>
  </conditionalFormatting>
  <hyperlinks>
    <hyperlink ref="N3" r:id="rId1"/>
    <hyperlink ref="N4" r:id="rId2"/>
    <hyperlink ref="N5" r:id="rId3"/>
    <hyperlink ref="N8" r:id="rId4"/>
    <hyperlink ref="N13" r:id="rId5"/>
    <hyperlink ref="N9" r:id="rId6"/>
    <hyperlink ref="N10" r:id="rId7"/>
    <hyperlink ref="N11" r:id="rId8"/>
    <hyperlink ref="N6" r:id="rId9"/>
    <hyperlink ref="N7" r:id="rId10"/>
    <hyperlink ref="N14" r:id="rId11"/>
    <hyperlink ref="N12" r:id="rId12"/>
  </hyperlinks>
  <pageMargins left="0.7" right="0.7" top="0.75" bottom="0.75" header="0.3" footer="0.3"/>
  <pageSetup orientation="portrait" r:id="rId1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8843A6-939A-4D81-986F-F3619153DF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P17</xm:sqref>
        </x14:conditionalFormatting>
        <x14:conditionalFormatting xmlns:xm="http://schemas.microsoft.com/office/excel/2006/main">
          <x14:cfRule type="dataBar" id="{36ECBF5D-EFFC-4768-AC2E-9F5CCB8EA1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R16:R17</xm:sqref>
        </x14:conditionalFormatting>
        <x14:conditionalFormatting xmlns:xm="http://schemas.microsoft.com/office/excel/2006/main">
          <x14:cfRule type="dataBar" id="{B802BE45-AE6E-4AFB-92D7-CAE7DD159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P3:P14</xm:sqref>
        </x14:conditionalFormatting>
        <x14:conditionalFormatting xmlns:xm="http://schemas.microsoft.com/office/excel/2006/main">
          <x14:cfRule type="dataBar" id="{423AC320-90C5-4685-9B12-A5EE24B441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R3:R14</xm:sqref>
        </x14:conditionalFormatting>
        <x14:conditionalFormatting xmlns:xm="http://schemas.microsoft.com/office/excel/2006/main">
          <x14:cfRule type="dataBar" id="{C6D344D2-5CD8-4C0C-8B51-936CCD2287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9F27B77-FC5B-485F-9FEF-E6D1F4D07B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2021-04-15T08:46:21Z</dcterms:created>
  <dcterms:modified xsi:type="dcterms:W3CDTF">2021-05-22T06:41:14Z</dcterms:modified>
</cp:coreProperties>
</file>