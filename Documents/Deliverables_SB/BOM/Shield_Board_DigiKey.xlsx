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SB\BOM\"/>
    </mc:Choice>
  </mc:AlternateContent>
  <xr:revisionPtr revIDLastSave="0" documentId="13_ncr:1_{ED1B5F2F-012A-47B7-99D0-4102D09D509F}" xr6:coauthVersionLast="47" xr6:coauthVersionMax="47" xr10:uidLastSave="{00000000-0000-0000-0000-000000000000}"/>
  <bookViews>
    <workbookView xWindow="-120" yWindow="-120" windowWidth="20730" windowHeight="11160" xr2:uid="{52E1266F-46F4-4087-AF05-0B4ACE3EB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P9" i="1"/>
  <c r="N9" i="1"/>
  <c r="K6" i="1" l="1"/>
  <c r="K8" i="1"/>
  <c r="K7" i="1"/>
  <c r="P7" i="1" s="1"/>
  <c r="K4" i="1"/>
  <c r="K5" i="1"/>
  <c r="K3" i="1"/>
  <c r="P3" i="1" s="1"/>
  <c r="P4" i="1"/>
  <c r="N8" i="1"/>
  <c r="P8" i="1"/>
  <c r="N7" i="1"/>
  <c r="N6" i="1"/>
  <c r="P6" i="1"/>
  <c r="N5" i="1"/>
  <c r="P5" i="1"/>
  <c r="N4" i="1"/>
  <c r="N3" i="1"/>
</calcChain>
</file>

<file path=xl/sharedStrings.xml><?xml version="1.0" encoding="utf-8"?>
<sst xmlns="http://schemas.openxmlformats.org/spreadsheetml/2006/main" count="68" uniqueCount="51">
  <si>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</si>
  <si>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</si>
  <si>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</si>
  <si>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</si>
  <si>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</si>
  <si>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</si>
  <si>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</si>
  <si>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</si>
  <si>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</si>
  <si>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</si>
  <si>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</si>
  <si>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</si>
  <si>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</si>
  <si>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</si>
  <si>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</si>
  <si>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</si>
  <si>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</si>
  <si>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DigiKey</t>
  </si>
  <si>
    <t>Custom</t>
  </si>
  <si>
    <t>---------</t>
  </si>
  <si>
    <t>-------</t>
  </si>
  <si>
    <t>--------</t>
  </si>
  <si>
    <t>Connector</t>
  </si>
  <si>
    <t>------</t>
  </si>
  <si>
    <t>J1</t>
  </si>
  <si>
    <t>J4</t>
  </si>
  <si>
    <t>-----------</t>
  </si>
  <si>
    <t>JST</t>
  </si>
  <si>
    <t>Bill of Material (BOM) for Shield Board</t>
  </si>
  <si>
    <t>B09B-XASK-1-A(LF)(SN)</t>
  </si>
  <si>
    <t>PHD-2*7A</t>
  </si>
  <si>
    <t>X2026WV-2x06A-N0SN</t>
  </si>
  <si>
    <t>HDR_M_1X4</t>
  </si>
  <si>
    <t>HDR_M_1X3</t>
  </si>
  <si>
    <t>HDR_M_1X7</t>
  </si>
  <si>
    <t>J2</t>
  </si>
  <si>
    <t>J3</t>
  </si>
  <si>
    <t>J5, J6, J7, J8, J11</t>
  </si>
  <si>
    <t>J9, J10</t>
  </si>
  <si>
    <t>CONN HEADER VERT 9POS 2.5MM</t>
  </si>
  <si>
    <t>2x7P 2 PHD 2mm 2mm 7 Phosphor bronze Plugin,P=2mm Wire To Board / Wire To Wire Connector ROHS</t>
  </si>
  <si>
    <t>2x6P 2 2mm 2mm 6 Brass Plugin,P=2mm Wire To Board / Wire To Wire Connector ROHS</t>
  </si>
  <si>
    <t>4 POS 2.54mm spacer header</t>
  </si>
  <si>
    <t>3 POS 2.54mm spacer header</t>
  </si>
  <si>
    <t>7 POS 2.54mm Board Spacer Pin</t>
  </si>
  <si>
    <t>BOOMELE</t>
  </si>
  <si>
    <t>XKB-Connectivity</t>
  </si>
  <si>
    <t>E-SIMPO</t>
  </si>
  <si>
    <t>custom supplier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</si>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</sst>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1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3" borderId="7" xfId="0" quotePrefix="1" applyFont="1" applyFill="1" applyBorder="1" applyAlignment="1">
      <alignment horizontal="center" vertical="center"/>
    </xf>
    <xf numFmtId="0" fontId="6" fillId="3" borderId="10" xfId="0" quotePrefix="1" applyFont="1" applyFill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7" xfId="0" quotePrefix="1" applyBorder="1" applyAlignment="1">
      <alignment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7" xfId="0" quotePrefix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0" fillId="0" borderId="13" xfId="0" quotePrefix="1" applyBorder="1" applyAlignment="1">
      <alignment vertical="center" wrapText="1"/>
    </xf>
    <xf numFmtId="0" fontId="0" fillId="0" borderId="13" xfId="0" quotePrefix="1" applyBorder="1" applyAlignment="1">
      <alignment horizontal="center" vertical="center" wrapText="1"/>
    </xf>
    <xf numFmtId="0" fontId="6" fillId="3" borderId="13" xfId="0" quotePrefix="1" applyFont="1" applyFill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3" fillId="0" borderId="13" xfId="1" quotePrefix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0" xfId="0" quotePrefix="1" applyBorder="1" applyAlignment="1">
      <alignment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8" fillId="0" borderId="15" xfId="1" quotePrefix="1" applyFont="1" applyBorder="1" applyAlignment="1">
      <alignment horizontal="center" vertical="center"/>
    </xf>
    <xf numFmtId="164" fontId="2" fillId="0" borderId="0" xfId="0" applyNumberFormat="1" applyFont="1"/>
    <xf numFmtId="164" fontId="9" fillId="0" borderId="17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jst-sales-america-inc/B09B-XASK-1-LF-SN/1634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1A44-2C72-44D3-BAB5-99CF8F584D0D}">
  <dimension ref="A1:Q10"/>
  <sheetViews>
    <sheetView tabSelected="1" zoomScale="90" zoomScaleNormal="90" workbookViewId="0">
      <selection activeCell="A3" sqref="A3:A8"/>
    </sheetView>
  </sheetViews>
  <sheetFormatPr defaultRowHeight="15" x14ac:dyDescent="0.25"/>
  <cols>
    <col min="1" max="1" width="7.5703125" customWidth="1"/>
    <col min="2" max="2" width="18.85546875" customWidth="1"/>
    <col min="3" max="3" width="43" customWidth="1"/>
    <col min="4" max="4" width="29.28515625" customWidth="1"/>
    <col min="5" max="5" width="18.28515625" customWidth="1"/>
    <col min="6" max="6" width="24.85546875" customWidth="1"/>
    <col min="7" max="7" width="19.7109375" customWidth="1"/>
    <col min="8" max="8" width="18.7109375" customWidth="1"/>
    <col min="10" max="10" width="20.140625" customWidth="1"/>
    <col min="11" max="11" width="14" customWidth="1"/>
    <col min="12" max="12" width="17.7109375" customWidth="1"/>
    <col min="13" max="13" width="15.85546875" customWidth="1"/>
    <col min="14" max="14" width="16.140625" customWidth="1"/>
    <col min="15" max="15" width="20.140625" customWidth="1"/>
    <col min="16" max="16" width="15" customWidth="1"/>
    <col min="17" max="17" width="32.42578125" customWidth="1"/>
  </cols>
  <sheetData>
    <row r="1" spans="1:17" ht="16.5" thickBot="1" x14ac:dyDescent="0.3">
      <c r="A1" s="40" t="s">
        <v>28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15.75" thickBot="1" x14ac:dyDescent="0.3">
      <c r="A2" s="1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ht="15.75" thickBot="1" x14ac:dyDescent="0.3">
      <c r="A3" s="2">
        <v>1</v>
      </c>
      <c r="B3" s="36" t="s">
        <v>22</v>
      </c>
      <c r="C3" s="19" t="s">
        <v>39</v>
      </c>
      <c r="D3" s="20" t="s">
        <v>24</v>
      </c>
      <c r="E3" s="21" t="s">
        <v>18</v>
      </c>
      <c r="F3" s="20" t="s">
        <v>29</v>
      </c>
      <c r="G3" s="20" t="s">
        <v>27</v>
      </c>
      <c r="H3" s="22" t="s">
        <v>21</v>
      </c>
      <c r="I3" s="22" t="s">
        <v>20</v>
      </c>
      <c r="J3" s="23">
        <v>1</v>
      </c>
      <c r="K3" s="24">
        <f>(J3*5)*1.6</f>
        <v>8</v>
      </c>
      <c r="L3" s="25" t="s">
        <v>17</v>
      </c>
      <c r="M3" s="26">
        <v>0.56000000000000005</v>
      </c>
      <c r="N3" s="26">
        <f t="shared" ref="N3:N8" si="0">M3*J3</f>
        <v>0.56000000000000005</v>
      </c>
      <c r="O3" s="26">
        <v>0.56000000000000005</v>
      </c>
      <c r="P3" s="26">
        <f t="shared" ref="P3:P8" si="1">O3*K3</f>
        <v>4.4800000000000004</v>
      </c>
      <c r="Q3" s="27"/>
    </row>
    <row r="4" spans="1:17" ht="45.75" thickBot="1" x14ac:dyDescent="0.3">
      <c r="A4" s="2">
        <v>2</v>
      </c>
      <c r="B4" s="36"/>
      <c r="C4" s="14" t="s">
        <v>40</v>
      </c>
      <c r="D4" s="15" t="s">
        <v>35</v>
      </c>
      <c r="E4" s="8" t="s">
        <v>18</v>
      </c>
      <c r="F4" s="15" t="s">
        <v>30</v>
      </c>
      <c r="G4" s="15" t="s">
        <v>45</v>
      </c>
      <c r="H4" s="5" t="s">
        <v>21</v>
      </c>
      <c r="I4" s="5" t="s">
        <v>23</v>
      </c>
      <c r="J4" s="16">
        <v>1</v>
      </c>
      <c r="K4" s="3">
        <f t="shared" ref="K4:K5" si="2">(J4*5)*1.6</f>
        <v>8</v>
      </c>
      <c r="L4" s="4" t="s">
        <v>48</v>
      </c>
      <c r="M4" s="6">
        <v>0.35</v>
      </c>
      <c r="N4" s="6">
        <f t="shared" si="0"/>
        <v>0.35</v>
      </c>
      <c r="O4" s="6">
        <v>0.35</v>
      </c>
      <c r="P4" s="6">
        <f t="shared" si="1"/>
        <v>2.8</v>
      </c>
      <c r="Q4" s="7"/>
    </row>
    <row r="5" spans="1:17" ht="30.75" thickBot="1" x14ac:dyDescent="0.3">
      <c r="A5" s="2">
        <v>3</v>
      </c>
      <c r="B5" s="36"/>
      <c r="C5" s="14" t="s">
        <v>41</v>
      </c>
      <c r="D5" s="15" t="s">
        <v>36</v>
      </c>
      <c r="E5" s="8" t="s">
        <v>18</v>
      </c>
      <c r="F5" s="15" t="s">
        <v>31</v>
      </c>
      <c r="G5" s="15" t="s">
        <v>46</v>
      </c>
      <c r="H5" s="5" t="s">
        <v>19</v>
      </c>
      <c r="I5" s="5" t="s">
        <v>19</v>
      </c>
      <c r="J5" s="16">
        <v>1</v>
      </c>
      <c r="K5" s="3">
        <f t="shared" si="2"/>
        <v>8</v>
      </c>
      <c r="L5" s="4" t="s">
        <v>48</v>
      </c>
      <c r="M5" s="6">
        <v>0.56999999999999995</v>
      </c>
      <c r="N5" s="6">
        <f t="shared" si="0"/>
        <v>0.56999999999999995</v>
      </c>
      <c r="O5" s="6">
        <v>0.56999999999999995</v>
      </c>
      <c r="P5" s="6">
        <f t="shared" si="1"/>
        <v>4.5599999999999996</v>
      </c>
      <c r="Q5" s="7"/>
    </row>
    <row r="6" spans="1:17" ht="15.75" thickBot="1" x14ac:dyDescent="0.3">
      <c r="A6" s="2">
        <v>4</v>
      </c>
      <c r="B6" s="36"/>
      <c r="C6" s="14" t="s">
        <v>42</v>
      </c>
      <c r="D6" s="15" t="s">
        <v>25</v>
      </c>
      <c r="E6" s="8" t="s">
        <v>18</v>
      </c>
      <c r="F6" s="15" t="s">
        <v>32</v>
      </c>
      <c r="G6" s="15" t="s">
        <v>47</v>
      </c>
      <c r="H6" s="5" t="s">
        <v>19</v>
      </c>
      <c r="I6" s="5" t="s">
        <v>19</v>
      </c>
      <c r="J6" s="16">
        <v>1</v>
      </c>
      <c r="K6" s="3">
        <f>(J6*5)*1.6</f>
        <v>8</v>
      </c>
      <c r="L6" s="4" t="s">
        <v>48</v>
      </c>
      <c r="M6" s="6">
        <v>0.874</v>
      </c>
      <c r="N6" s="6">
        <f t="shared" si="0"/>
        <v>0.874</v>
      </c>
      <c r="O6" s="6">
        <v>0.874</v>
      </c>
      <c r="P6" s="6">
        <f t="shared" si="1"/>
        <v>6.992</v>
      </c>
      <c r="Q6" s="7"/>
    </row>
    <row r="7" spans="1:17" ht="15.75" thickBot="1" x14ac:dyDescent="0.3">
      <c r="A7" s="2">
        <v>5</v>
      </c>
      <c r="B7" s="36"/>
      <c r="C7" s="14" t="s">
        <v>43</v>
      </c>
      <c r="D7" s="15" t="s">
        <v>37</v>
      </c>
      <c r="E7" s="17" t="s">
        <v>18</v>
      </c>
      <c r="F7" s="15" t="s">
        <v>33</v>
      </c>
      <c r="G7" s="15" t="s">
        <v>47</v>
      </c>
      <c r="H7" s="17"/>
      <c r="I7" s="5" t="s">
        <v>19</v>
      </c>
      <c r="J7" s="16">
        <v>5</v>
      </c>
      <c r="K7" s="3">
        <f>(J7*5)*1.2</f>
        <v>30</v>
      </c>
      <c r="L7" s="4" t="s">
        <v>48</v>
      </c>
      <c r="M7" s="6">
        <v>0.874</v>
      </c>
      <c r="N7" s="6">
        <f t="shared" si="0"/>
        <v>4.37</v>
      </c>
      <c r="O7" s="6">
        <v>0.874</v>
      </c>
      <c r="P7" s="6">
        <f t="shared" si="1"/>
        <v>26.22</v>
      </c>
      <c r="Q7" s="18"/>
    </row>
    <row r="8" spans="1:17" ht="15.75" thickBot="1" x14ac:dyDescent="0.3">
      <c r="A8" s="2">
        <v>6</v>
      </c>
      <c r="B8" s="37"/>
      <c r="C8" s="29" t="s">
        <v>44</v>
      </c>
      <c r="D8" s="30" t="s">
        <v>38</v>
      </c>
      <c r="E8" s="9" t="s">
        <v>18</v>
      </c>
      <c r="F8" s="30" t="s">
        <v>34</v>
      </c>
      <c r="G8" s="30" t="s">
        <v>47</v>
      </c>
      <c r="H8" s="11" t="s">
        <v>26</v>
      </c>
      <c r="I8" s="10" t="s">
        <v>19</v>
      </c>
      <c r="J8" s="31">
        <v>2</v>
      </c>
      <c r="K8" s="32">
        <f>(J8*5)*1.2</f>
        <v>12</v>
      </c>
      <c r="L8" s="33" t="s">
        <v>48</v>
      </c>
      <c r="M8" s="12">
        <v>0.874</v>
      </c>
      <c r="N8" s="12">
        <f t="shared" si="0"/>
        <v>1.748</v>
      </c>
      <c r="O8" s="12">
        <v>0.874</v>
      </c>
      <c r="P8" s="12">
        <f t="shared" si="1"/>
        <v>10.488</v>
      </c>
      <c r="Q8" s="13"/>
    </row>
    <row r="9" spans="1:17" ht="19.5" customHeight="1" thickBot="1" x14ac:dyDescent="0.35">
      <c r="I9" s="38" t="s">
        <v>49</v>
      </c>
      <c r="J9" s="38"/>
      <c r="K9" s="38"/>
      <c r="L9" s="38"/>
      <c r="N9" s="34">
        <f>SUM(N3:N8)</f>
        <v>8.4719999999999995</v>
      </c>
      <c r="P9" s="35">
        <f>SUM(P3:P8)</f>
        <v>55.54</v>
      </c>
    </row>
    <row r="10" spans="1:17" ht="18.75" x14ac:dyDescent="0.3">
      <c r="I10" s="39" t="s">
        <v>50</v>
      </c>
      <c r="J10" s="39"/>
      <c r="K10" s="39"/>
      <c r="L10" s="39"/>
      <c r="M10" s="34">
        <f>SUM(M3:M8)</f>
        <v>4.1020000000000003</v>
      </c>
    </row>
  </sheetData>
  <mergeCells count="4">
    <mergeCell ref="B3:B8"/>
    <mergeCell ref="I9:L9"/>
    <mergeCell ref="I10:L10"/>
    <mergeCell ref="A1:Q1"/>
  </mergeCells>
  <conditionalFormatting sqref="N3:N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{F07D64E3-F159-4E6C-8A3F-51C6B8DDD5EB}</x14:id>
        </ext>
      </extLst>
    </cfRule>
  </conditionalFormatting>
  <conditionalFormatting sqref="P3:P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{B7750966-CBFB-43FF-96A7-4CA4E58D4785}</x14:id>
        </ext>
      </extLst>
    </cfRule>
  </conditionalFormatting>
  <conditionalFormatting sqref="J3:K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8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3" r:id="rId1" xr:uid="{30213C65-780E-41F9-9590-1CC1FA0357B6}"/>
  </hyperlink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7D64E3-F159-4E6C-8A3F-51C6B8DDD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N3:N8</xm:sqref>
        </x14:conditionalFormatting>
        <x14:conditionalFormatting xmlns:xm="http://schemas.microsoft.com/office/excel/2006/main">
          <x14:cfRule type="dataBar" id="{B7750966-CBFB-43FF-96A7-4CA4E58D4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2022-02-04T08:45:16Z</dcterms:created>
  <dcterms:modified xsi:type="dcterms:W3CDTF">2022-02-04T09:59:51Z</dcterms:modified>
</cp:coreProperties>
</file>