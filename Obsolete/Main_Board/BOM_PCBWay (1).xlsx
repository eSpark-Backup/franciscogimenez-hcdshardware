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 Group\Downloads\FranciscoG\FranciscoG\Documents\Deliverables\BOM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 l="1"/>
  <c r="K51" i="1" l="1"/>
  <c r="K44" i="1" l="1"/>
  <c r="K43" i="1"/>
  <c r="K39" i="1"/>
  <c r="K25" i="1"/>
  <c r="K30" i="1"/>
  <c r="K24" i="1"/>
  <c r="K16" i="1"/>
  <c r="K12" i="1"/>
  <c r="K52" i="1" l="1"/>
  <c r="K50" i="1"/>
  <c r="K49" i="1"/>
  <c r="K47" i="1"/>
  <c r="K46" i="1"/>
  <c r="K42" i="1"/>
  <c r="K41" i="1"/>
  <c r="K40" i="1"/>
  <c r="K38" i="1"/>
  <c r="K37" i="1"/>
  <c r="K36" i="1"/>
  <c r="K35" i="1"/>
  <c r="K34" i="1"/>
  <c r="K33" i="1"/>
  <c r="K32" i="1"/>
  <c r="K31" i="1"/>
  <c r="K29" i="1"/>
  <c r="K28" i="1"/>
  <c r="K27" i="1"/>
  <c r="K26" i="1"/>
  <c r="K23" i="1"/>
  <c r="K21" i="1"/>
  <c r="K19" i="1"/>
  <c r="K18" i="1"/>
  <c r="K17" i="1"/>
  <c r="K15" i="1"/>
  <c r="K14" i="1"/>
  <c r="K8" i="1"/>
  <c r="K7" i="1"/>
  <c r="K4" i="1"/>
</calcChain>
</file>

<file path=xl/sharedStrings.xml><?xml version="1.0" encoding="utf-8"?>
<sst xmlns="http://schemas.openxmlformats.org/spreadsheetml/2006/main" count="281" uniqueCount="216">
  <si>
    <t>S. No.</t>
  </si>
  <si>
    <t>Components</t>
  </si>
  <si>
    <t>Description</t>
  </si>
  <si>
    <t>Designator</t>
  </si>
  <si>
    <t>Footprint (Package)</t>
  </si>
  <si>
    <t>Manufacturer Part Number</t>
  </si>
  <si>
    <t>Value</t>
  </si>
  <si>
    <t>Quantity (Per Board)</t>
  </si>
  <si>
    <t>CAP CER 0.1UF 50V X7R 0603</t>
  </si>
  <si>
    <t>CAP-0603</t>
  </si>
  <si>
    <t>CAP CER 1UF 25V X5R 0603</t>
  </si>
  <si>
    <t>CAP CER 10UF 25V X5R 0603</t>
  </si>
  <si>
    <t>C8, C9</t>
  </si>
  <si>
    <t>CAP CER 10PF 50V C0G/NP0 0603</t>
  </si>
  <si>
    <t>C15</t>
  </si>
  <si>
    <t>CAP CER 4.7UF 25V X5R 0603</t>
  </si>
  <si>
    <t>C33, C34</t>
  </si>
  <si>
    <t>CAP ALUM 100UF 20% 25V SMD</t>
  </si>
  <si>
    <t>C14</t>
  </si>
  <si>
    <t>CAP ALUM 470UF 20% 25V SMD</t>
  </si>
  <si>
    <t>C37, C38</t>
  </si>
  <si>
    <t>Diode</t>
  </si>
  <si>
    <t>DIODE SCHOTTKY 40V 3A SMA</t>
  </si>
  <si>
    <t>D1, D2</t>
  </si>
  <si>
    <t>DO-214AC</t>
  </si>
  <si>
    <t>D3</t>
  </si>
  <si>
    <t>SMA</t>
  </si>
  <si>
    <t>LED GREEN CLEAR CHIP SMD</t>
  </si>
  <si>
    <t>D4, D5</t>
  </si>
  <si>
    <t>LED 0402</t>
  </si>
  <si>
    <t>Inductor</t>
  </si>
  <si>
    <t>FIXED IND 3.3UH 8A 11.8 MOHM SMD</t>
  </si>
  <si>
    <t>74437368033</t>
  </si>
  <si>
    <t>FIXED IND 10UH 2.5A 43.7 MOHM</t>
  </si>
  <si>
    <t>L2</t>
  </si>
  <si>
    <t>SLF10145T-100M2R5-PF</t>
  </si>
  <si>
    <t>Transistor</t>
  </si>
  <si>
    <t>TRANS NPN 40V 0.6A SMD SOT23-3</t>
  </si>
  <si>
    <t>Q1, Q2</t>
  </si>
  <si>
    <t>TRANS PNP 40V 600MA SOT23-3</t>
  </si>
  <si>
    <t>Q4</t>
  </si>
  <si>
    <t>RES SMD 10K OHM 5% 1/5W 0603</t>
  </si>
  <si>
    <t>RES-0603</t>
  </si>
  <si>
    <t>RES SMD 54.9K OHM 1% 1/10W 0603</t>
  </si>
  <si>
    <t>R5</t>
  </si>
  <si>
    <t>RES SMD 20K OHM 1% 1/4W 0603</t>
  </si>
  <si>
    <t>RES SMD 8.2K OHM 5% 1/4W 0603</t>
  </si>
  <si>
    <t>R20</t>
  </si>
  <si>
    <t>RES SMD 100 OHM 1% 1/4W 0603</t>
  </si>
  <si>
    <t>R21, R22, R23</t>
  </si>
  <si>
    <t>RES SMD 301K OHM 1% 1/10W 0603</t>
  </si>
  <si>
    <t>R24</t>
  </si>
  <si>
    <t>R26</t>
  </si>
  <si>
    <t>RES SMD 536K OHM 1% 1/10W 0603</t>
  </si>
  <si>
    <t>R27</t>
  </si>
  <si>
    <t>RES SMD 453K OHM 1% 1/10W 0603</t>
  </si>
  <si>
    <t>R28</t>
  </si>
  <si>
    <t>RES 5.1K OHM 1% 1/10W 0603</t>
  </si>
  <si>
    <t>R29, R30, R77, R78</t>
  </si>
  <si>
    <t>TRIMMER 10K OHM 0.1W J LEAD TOP</t>
  </si>
  <si>
    <t>Rp1</t>
  </si>
  <si>
    <t>TC33X-2-103E</t>
  </si>
  <si>
    <t>Switch</t>
  </si>
  <si>
    <t>SW1</t>
  </si>
  <si>
    <t>ICS</t>
  </si>
  <si>
    <t>RX TXRX MOD WIFI SURFACE MOUNT</t>
  </si>
  <si>
    <t>U1</t>
  </si>
  <si>
    <t>IC REG BUCK ADJ 5A TSOT23-6</t>
  </si>
  <si>
    <t>U2</t>
  </si>
  <si>
    <t>SOT 23-6</t>
  </si>
  <si>
    <t>TPS565208DDCT</t>
  </si>
  <si>
    <t>IC REG LINEAR 3.3V 1A DPAK</t>
  </si>
  <si>
    <t>U3</t>
  </si>
  <si>
    <t>LDF33DT-TR</t>
  </si>
  <si>
    <t>U4</t>
  </si>
  <si>
    <t>IC AMP AUDIO PWR .325W AB 8SOIC</t>
  </si>
  <si>
    <t>U5</t>
  </si>
  <si>
    <t>LOAD CELL AMP HX711</t>
  </si>
  <si>
    <t>U6</t>
  </si>
  <si>
    <t>IC BUF NON-INVERT 5.5V SOT23-5</t>
  </si>
  <si>
    <t>SOT-23-5</t>
  </si>
  <si>
    <t>U13</t>
  </si>
  <si>
    <t>LT3652EDD#PBF</t>
  </si>
  <si>
    <t>Connectors</t>
  </si>
  <si>
    <t>CONN HEADER VERT 4POS 2.5MM</t>
  </si>
  <si>
    <t>J2, J12, J17</t>
  </si>
  <si>
    <t>B4B-XH-A(LF)(SN)</t>
  </si>
  <si>
    <t>CONN HEADER VERT 3POS 2.5MM</t>
  </si>
  <si>
    <t>CONN HEADER VERT 7POS 2.5MM</t>
  </si>
  <si>
    <t>J14, J15</t>
  </si>
  <si>
    <t>CONN RCP USB3.1 TYPEC 24P SMD RA</t>
  </si>
  <si>
    <t>J16</t>
  </si>
  <si>
    <t>Test Point ON</t>
  </si>
  <si>
    <t>P1, P2, P3, P4</t>
  </si>
  <si>
    <t>0.1uF</t>
  </si>
  <si>
    <t>1uF</t>
  </si>
  <si>
    <t>10uF</t>
  </si>
  <si>
    <t>22uF</t>
  </si>
  <si>
    <t>10pF</t>
  </si>
  <si>
    <t>4.7uF</t>
  </si>
  <si>
    <t>100uF</t>
  </si>
  <si>
    <t>470uF</t>
  </si>
  <si>
    <t>3.3uH</t>
  </si>
  <si>
    <t>10uH</t>
  </si>
  <si>
    <t>10K</t>
  </si>
  <si>
    <t>54.9K</t>
  </si>
  <si>
    <t>20K</t>
  </si>
  <si>
    <t>8.2K</t>
  </si>
  <si>
    <t>100R</t>
  </si>
  <si>
    <t>301k</t>
  </si>
  <si>
    <t>0.05R</t>
  </si>
  <si>
    <t>536K</t>
  </si>
  <si>
    <t>453K</t>
  </si>
  <si>
    <t>5.1K</t>
  </si>
  <si>
    <t>Test Point</t>
  </si>
  <si>
    <t>Bill of Material (BOM) for  Francisco Gimenez</t>
  </si>
  <si>
    <t>-</t>
  </si>
  <si>
    <t>Custom</t>
  </si>
  <si>
    <t>-------------</t>
  </si>
  <si>
    <t>CAP CER 22UF 16V X5R 0603</t>
  </si>
  <si>
    <t>RES 0.05 OHM 1% 1/2W 2010</t>
  </si>
  <si>
    <t>SOT-23</t>
  </si>
  <si>
    <t>CAP CER 1000PF 25V C0G/NPO 0603</t>
  </si>
  <si>
    <t>1nF</t>
  </si>
  <si>
    <t xml:space="preserve">DIODE GEN PURP 50V 1A SMA
</t>
  </si>
  <si>
    <t>DIODE SCHOTTKY 5A 40V SMB</t>
  </si>
  <si>
    <t>D6</t>
  </si>
  <si>
    <t>SMB</t>
  </si>
  <si>
    <t>MOSFET P-CH 12V 2.6A SUPERSOT3</t>
  </si>
  <si>
    <t>Q5</t>
  </si>
  <si>
    <t>SuperSOT-3</t>
  </si>
  <si>
    <t>RES SMD 470K OHM 5% 1/10W 0603</t>
  </si>
  <si>
    <t>R8</t>
  </si>
  <si>
    <t>470K</t>
  </si>
  <si>
    <t xml:space="preserve"> R19</t>
  </si>
  <si>
    <t>RES 2010</t>
  </si>
  <si>
    <t>RES SMD 100K OHM 5% 1/5W 0603</t>
  </si>
  <si>
    <t>100K</t>
  </si>
  <si>
    <t>SWITCH TACTILE SPST-NO 0.05A 12V</t>
  </si>
  <si>
    <t>DPAK</t>
  </si>
  <si>
    <t>IC OR CTRLR SRC SELECT TSOT23-6</t>
  </si>
  <si>
    <t>TSOT-23-6</t>
  </si>
  <si>
    <t>U7, U8, U9, U10, U19</t>
  </si>
  <si>
    <t>IC PWR SWITCH P-CHAN 1:1 6TSOP</t>
  </si>
  <si>
    <t>U14</t>
  </si>
  <si>
    <t>6-TSOP</t>
  </si>
  <si>
    <t>IC SUPERVISOR 1 CHANNEL 3SSOP</t>
  </si>
  <si>
    <t>U17</t>
  </si>
  <si>
    <t>SSOP-3</t>
  </si>
  <si>
    <t>BD48K50G-TL</t>
  </si>
  <si>
    <t>J1, J3, J24, J25, J26, J27, J28, J29</t>
  </si>
  <si>
    <t xml:space="preserve">CONN HEADER VERT 2POS 2.5MM
</t>
  </si>
  <si>
    <t>J10, J11, J13, J20, J30</t>
  </si>
  <si>
    <t>Capacitors</t>
  </si>
  <si>
    <t>Resistors</t>
  </si>
  <si>
    <t>8SOIC</t>
  </si>
  <si>
    <t>12DFN</t>
  </si>
  <si>
    <t>C1, C6, C7, C12, C17, C18, C21, C32, C36, C51, C53, C55, CF1, CF3</t>
  </si>
  <si>
    <t>C4, C5, C13, C16, C19, C20, C31, C35, CF2</t>
  </si>
  <si>
    <t>L1, L3</t>
  </si>
  <si>
    <t>R1, R3, R4, R6, R31, R32, RF1</t>
  </si>
  <si>
    <t>R25, R36, R37</t>
  </si>
  <si>
    <t>Solder Bridge ON</t>
  </si>
  <si>
    <t>SB1</t>
  </si>
  <si>
    <t>Solder Bridge</t>
  </si>
  <si>
    <t xml:space="preserve">LCSC Part No </t>
  </si>
  <si>
    <t>C913912</t>
  </si>
  <si>
    <t>C5673</t>
  </si>
  <si>
    <t>C386081</t>
  </si>
  <si>
    <t>C106245</t>
  </si>
  <si>
    <t>C69335</t>
  </si>
  <si>
    <t>C125982</t>
  </si>
  <si>
    <t>C249933</t>
  </si>
  <si>
    <t>C150735</t>
  </si>
  <si>
    <t>C434446</t>
  </si>
  <si>
    <t>C94515</t>
  </si>
  <si>
    <t>C161787</t>
  </si>
  <si>
    <t>C185321</t>
  </si>
  <si>
    <t>C23200</t>
  </si>
  <si>
    <t>C25818</t>
  </si>
  <si>
    <t>C23026</t>
  </si>
  <si>
    <t>C491196</t>
  </si>
  <si>
    <t>C158012</t>
  </si>
  <si>
    <t>C144394</t>
  </si>
  <si>
    <t>C144398</t>
  </si>
  <si>
    <t>C498674</t>
  </si>
  <si>
    <t>C100024</t>
  </si>
  <si>
    <t>C23573</t>
  </si>
  <si>
    <t>C154510</t>
  </si>
  <si>
    <t xml:space="preserve">C144601
</t>
  </si>
  <si>
    <t xml:space="preserve">C105575
</t>
  </si>
  <si>
    <t xml:space="preserve">C445835
</t>
  </si>
  <si>
    <t>C491207</t>
  </si>
  <si>
    <t>C309643</t>
  </si>
  <si>
    <t>C231329</t>
  </si>
  <si>
    <t>C529577</t>
  </si>
  <si>
    <t>C521306</t>
  </si>
  <si>
    <t xml:space="preserve">C43656
</t>
  </si>
  <si>
    <t>SOP-16</t>
  </si>
  <si>
    <t>C141534</t>
  </si>
  <si>
    <t>Quantity (5 boards)</t>
  </si>
  <si>
    <t>C84419</t>
  </si>
  <si>
    <t>CAP CER 2.2UF 25V X5R 0603</t>
  </si>
  <si>
    <t>C40</t>
  </si>
  <si>
    <t>C309478</t>
  </si>
  <si>
    <t>2.2uF</t>
  </si>
  <si>
    <t>C163170</t>
  </si>
  <si>
    <t>C85098</t>
  </si>
  <si>
    <t>C32513</t>
  </si>
  <si>
    <t>----------</t>
  </si>
  <si>
    <t>C75556</t>
  </si>
  <si>
    <t>C3, C11, C39, C41, C43, C50, C52</t>
  </si>
  <si>
    <t>C42, C54</t>
  </si>
  <si>
    <t>Supplied Quantity</t>
  </si>
  <si>
    <t xml:space="preserve"> -</t>
  </si>
  <si>
    <t>C23186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</si>
</sst>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4" borderId="3" xfId="1" applyFont="1" applyFill="1" applyBorder="1" applyAlignment="1" applyProtection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top"/>
    </xf>
    <xf numFmtId="0" fontId="5" fillId="0" borderId="7" xfId="0" quotePrefix="1" applyFont="1" applyBorder="1" applyAlignment="1">
      <alignment horizontal="left" vertical="top"/>
    </xf>
    <xf numFmtId="0" fontId="5" fillId="0" borderId="8" xfId="0" quotePrefix="1" applyFont="1" applyBorder="1" applyAlignment="1">
      <alignment horizontal="left" vertical="top"/>
    </xf>
    <xf numFmtId="0" fontId="3" fillId="2" borderId="9" xfId="0" applyFont="1" applyFill="1" applyBorder="1" applyAlignment="1">
      <alignment horizontal="center" vertical="center"/>
    </xf>
    <xf numFmtId="0" fontId="5" fillId="5" borderId="8" xfId="0" quotePrefix="1" applyFont="1" applyFill="1" applyBorder="1" applyAlignment="1">
      <alignment horizontal="left" vertical="top"/>
    </xf>
    <xf numFmtId="0" fontId="5" fillId="5" borderId="5" xfId="0" quotePrefix="1" applyFont="1" applyFill="1" applyBorder="1" applyAlignment="1">
      <alignment horizontal="center" vertical="center"/>
    </xf>
    <xf numFmtId="0" fontId="5" fillId="5" borderId="7" xfId="0" quotePrefix="1" applyFont="1" applyFill="1" applyBorder="1" applyAlignment="1">
      <alignment horizontal="left" vertical="top"/>
    </xf>
    <xf numFmtId="0" fontId="5" fillId="5" borderId="3" xfId="0" quotePrefix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0" fontId="5" fillId="0" borderId="7" xfId="0" quotePrefix="1" applyFont="1" applyBorder="1" applyAlignment="1">
      <alignment horizontal="left" vertical="center"/>
    </xf>
    <xf numFmtId="0" fontId="9" fillId="0" borderId="2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9" fillId="5" borderId="3" xfId="0" quotePrefix="1" applyFont="1" applyFill="1" applyBorder="1" applyAlignment="1">
      <alignment horizontal="center" vertical="center"/>
    </xf>
    <xf numFmtId="0" fontId="9" fillId="5" borderId="5" xfId="0" quotePrefix="1" applyFont="1" applyFill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3" borderId="18" xfId="0" quotePrefix="1" applyFont="1" applyFill="1" applyBorder="1" applyAlignment="1">
      <alignment horizontal="left" vertical="top" wrapText="1"/>
    </xf>
    <xf numFmtId="0" fontId="6" fillId="3" borderId="19" xfId="0" quotePrefix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3" borderId="19" xfId="0" quotePrefix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quotePrefix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3" borderId="7" xfId="0" quotePrefix="1" applyFont="1" applyFill="1" applyBorder="1" applyAlignment="1">
      <alignment horizontal="left" vertical="top" wrapText="1"/>
    </xf>
    <xf numFmtId="0" fontId="9" fillId="0" borderId="1" xfId="0" quotePrefix="1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left" vertical="top"/>
    </xf>
    <xf numFmtId="0" fontId="9" fillId="0" borderId="20" xfId="0" quotePrefix="1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quotePrefix="1" applyFont="1" applyBorder="1" applyAlignment="1">
      <alignment horizontal="left" vertical="top"/>
    </xf>
    <xf numFmtId="0" fontId="9" fillId="0" borderId="26" xfId="0" quotePrefix="1" applyFont="1" applyBorder="1" applyAlignment="1">
      <alignment horizontal="center" vertical="center"/>
    </xf>
    <xf numFmtId="0" fontId="5" fillId="0" borderId="26" xfId="0" quotePrefix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27" xfId="0" quotePrefix="1" applyFont="1" applyBorder="1" applyAlignment="1">
      <alignment horizontal="left" vertical="top"/>
    </xf>
    <xf numFmtId="0" fontId="9" fillId="0" borderId="22" xfId="0" quotePrefix="1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 wrapText="1"/>
    </xf>
    <xf numFmtId="0" fontId="5" fillId="5" borderId="25" xfId="0" quotePrefix="1" applyFont="1" applyFill="1" applyBorder="1" applyAlignment="1">
      <alignment horizontal="left" vertical="top"/>
    </xf>
    <xf numFmtId="0" fontId="9" fillId="5" borderId="26" xfId="0" quotePrefix="1" applyFont="1" applyFill="1" applyBorder="1" applyAlignment="1">
      <alignment horizontal="center" vertical="center"/>
    </xf>
    <xf numFmtId="0" fontId="5" fillId="5" borderId="26" xfId="0" quotePrefix="1" applyFont="1" applyFill="1" applyBorder="1" applyAlignment="1">
      <alignment horizontal="center" vertical="center"/>
    </xf>
    <xf numFmtId="0" fontId="11" fillId="0" borderId="20" xfId="0" quotePrefix="1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10" zoomScale="85" zoomScaleNormal="85" workbookViewId="0">
      <selection activeCell="F31" sqref="F31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0.85546875" bestFit="1" customWidth="1"/>
    <col min="4" max="4" width="41" bestFit="1" customWidth="1"/>
    <col min="5" max="5" width="20.28515625" bestFit="1" customWidth="1"/>
    <col min="6" max="6" width="25.140625" bestFit="1" customWidth="1"/>
    <col min="7" max="7" width="16" bestFit="1" customWidth="1"/>
    <col min="8" max="8" width="11.5703125" bestFit="1" customWidth="1"/>
    <col min="9" max="9" width="17.28515625" bestFit="1" customWidth="1"/>
    <col min="10" max="10" width="19.42578125" bestFit="1" customWidth="1"/>
    <col min="11" max="11" width="18.28515625" bestFit="1" customWidth="1"/>
  </cols>
  <sheetData>
    <row r="1" spans="1:11" ht="16.5" thickBot="1" x14ac:dyDescent="0.3">
      <c r="A1" s="75" t="s">
        <v>115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5.75" thickBot="1" x14ac:dyDescent="0.3">
      <c r="A2" s="28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165</v>
      </c>
      <c r="H2" s="29" t="s">
        <v>6</v>
      </c>
      <c r="I2" s="29" t="s">
        <v>213</v>
      </c>
      <c r="J2" s="29" t="s">
        <v>7</v>
      </c>
      <c r="K2" s="29" t="s">
        <v>200</v>
      </c>
    </row>
    <row r="3" spans="1:11" ht="26.25" thickBot="1" x14ac:dyDescent="0.3">
      <c r="A3" s="14">
        <v>1</v>
      </c>
      <c r="B3" s="82" t="s">
        <v>153</v>
      </c>
      <c r="C3" s="42" t="s">
        <v>8</v>
      </c>
      <c r="D3" s="55" t="s">
        <v>157</v>
      </c>
      <c r="E3" s="8" t="s">
        <v>9</v>
      </c>
      <c r="F3" s="8"/>
      <c r="G3" s="44" t="s">
        <v>166</v>
      </c>
      <c r="H3" s="8" t="s">
        <v>94</v>
      </c>
      <c r="I3" s="9">
        <v>50</v>
      </c>
      <c r="J3" s="10">
        <v>14</v>
      </c>
      <c r="K3" s="9">
        <v>100</v>
      </c>
    </row>
    <row r="4" spans="1:11" ht="15.75" thickBot="1" x14ac:dyDescent="0.3">
      <c r="A4" s="14">
        <v>2</v>
      </c>
      <c r="B4" s="83"/>
      <c r="C4" s="12" t="s">
        <v>10</v>
      </c>
      <c r="D4" s="24" t="s">
        <v>211</v>
      </c>
      <c r="E4" s="2" t="s">
        <v>9</v>
      </c>
      <c r="F4" s="2"/>
      <c r="G4" s="2" t="s">
        <v>167</v>
      </c>
      <c r="H4" s="2" t="s">
        <v>95</v>
      </c>
      <c r="I4" s="3">
        <v>50</v>
      </c>
      <c r="J4" s="4">
        <v>7</v>
      </c>
      <c r="K4" s="3">
        <f t="shared" ref="K4:K45" si="0">J4*5</f>
        <v>35</v>
      </c>
    </row>
    <row r="5" spans="1:11" ht="15.75" thickBot="1" x14ac:dyDescent="0.3">
      <c r="A5" s="14">
        <v>3</v>
      </c>
      <c r="B5" s="83"/>
      <c r="C5" s="12" t="s">
        <v>11</v>
      </c>
      <c r="D5" s="24" t="s">
        <v>158</v>
      </c>
      <c r="E5" s="2" t="s">
        <v>9</v>
      </c>
      <c r="F5" s="2"/>
      <c r="G5" s="2" t="s">
        <v>168</v>
      </c>
      <c r="H5" s="2" t="s">
        <v>96</v>
      </c>
      <c r="I5" s="3">
        <v>10</v>
      </c>
      <c r="J5" s="4">
        <v>9</v>
      </c>
      <c r="K5" s="3">
        <v>50</v>
      </c>
    </row>
    <row r="6" spans="1:11" ht="15.75" thickBot="1" x14ac:dyDescent="0.3">
      <c r="A6" s="14">
        <v>4</v>
      </c>
      <c r="B6" s="83"/>
      <c r="C6" s="12" t="s">
        <v>119</v>
      </c>
      <c r="D6" s="24" t="s">
        <v>12</v>
      </c>
      <c r="E6" s="2" t="s">
        <v>9</v>
      </c>
      <c r="F6" s="2"/>
      <c r="G6" s="70" t="s">
        <v>201</v>
      </c>
      <c r="H6" s="2" t="s">
        <v>97</v>
      </c>
      <c r="I6" s="3">
        <v>10</v>
      </c>
      <c r="J6" s="4">
        <v>2</v>
      </c>
      <c r="K6" s="3">
        <v>20</v>
      </c>
    </row>
    <row r="7" spans="1:11" ht="15.75" thickBot="1" x14ac:dyDescent="0.3">
      <c r="A7" s="14">
        <v>5</v>
      </c>
      <c r="B7" s="83"/>
      <c r="C7" s="12" t="s">
        <v>13</v>
      </c>
      <c r="D7" s="24" t="s">
        <v>14</v>
      </c>
      <c r="E7" s="2" t="s">
        <v>9</v>
      </c>
      <c r="F7" s="2"/>
      <c r="G7" s="2" t="s">
        <v>169</v>
      </c>
      <c r="H7" s="2" t="s">
        <v>98</v>
      </c>
      <c r="I7" s="3">
        <v>50</v>
      </c>
      <c r="J7" s="4">
        <v>1</v>
      </c>
      <c r="K7" s="3">
        <f t="shared" si="0"/>
        <v>5</v>
      </c>
    </row>
    <row r="8" spans="1:11" ht="15.75" thickBot="1" x14ac:dyDescent="0.3">
      <c r="A8" s="14">
        <v>6</v>
      </c>
      <c r="B8" s="83"/>
      <c r="C8" s="12" t="s">
        <v>15</v>
      </c>
      <c r="D8" s="24" t="s">
        <v>16</v>
      </c>
      <c r="E8" s="2" t="s">
        <v>9</v>
      </c>
      <c r="F8" s="2"/>
      <c r="G8" s="2" t="s">
        <v>170</v>
      </c>
      <c r="H8" s="2" t="s">
        <v>99</v>
      </c>
      <c r="I8" s="3">
        <v>20</v>
      </c>
      <c r="J8" s="4">
        <v>2</v>
      </c>
      <c r="K8" s="3">
        <f t="shared" si="0"/>
        <v>10</v>
      </c>
    </row>
    <row r="9" spans="1:11" ht="15.75" thickBot="1" x14ac:dyDescent="0.3">
      <c r="A9" s="14">
        <v>7</v>
      </c>
      <c r="B9" s="83"/>
      <c r="C9" s="12" t="s">
        <v>17</v>
      </c>
      <c r="D9" s="24" t="s">
        <v>18</v>
      </c>
      <c r="E9" s="2" t="s">
        <v>117</v>
      </c>
      <c r="F9" s="2"/>
      <c r="G9" s="2" t="s">
        <v>171</v>
      </c>
      <c r="H9" s="2" t="s">
        <v>100</v>
      </c>
      <c r="I9" s="3">
        <v>5</v>
      </c>
      <c r="J9" s="4">
        <v>1</v>
      </c>
      <c r="K9" s="3">
        <v>10</v>
      </c>
    </row>
    <row r="10" spans="1:11" ht="15.75" thickBot="1" x14ac:dyDescent="0.3">
      <c r="A10" s="14">
        <v>8</v>
      </c>
      <c r="B10" s="83"/>
      <c r="C10" s="17" t="s">
        <v>19</v>
      </c>
      <c r="D10" s="25" t="s">
        <v>20</v>
      </c>
      <c r="E10" s="18" t="s">
        <v>117</v>
      </c>
      <c r="F10" s="18"/>
      <c r="G10" s="2" t="s">
        <v>172</v>
      </c>
      <c r="H10" s="2" t="s">
        <v>101</v>
      </c>
      <c r="I10" s="3">
        <v>1</v>
      </c>
      <c r="J10" s="4">
        <v>2</v>
      </c>
      <c r="K10" s="3">
        <v>12</v>
      </c>
    </row>
    <row r="11" spans="1:11" ht="15.75" thickBot="1" x14ac:dyDescent="0.3">
      <c r="A11" s="14">
        <v>9</v>
      </c>
      <c r="B11" s="83"/>
      <c r="C11" s="71" t="s">
        <v>202</v>
      </c>
      <c r="D11" s="72" t="s">
        <v>203</v>
      </c>
      <c r="E11" s="73" t="s">
        <v>9</v>
      </c>
      <c r="F11" s="73"/>
      <c r="G11" s="2" t="s">
        <v>204</v>
      </c>
      <c r="H11" s="62" t="s">
        <v>205</v>
      </c>
      <c r="I11" s="3">
        <v>20</v>
      </c>
      <c r="J11" s="4">
        <v>1</v>
      </c>
      <c r="K11" s="3">
        <v>20</v>
      </c>
    </row>
    <row r="12" spans="1:11" ht="15.75" thickBot="1" x14ac:dyDescent="0.3">
      <c r="A12" s="14">
        <v>10</v>
      </c>
      <c r="B12" s="84"/>
      <c r="C12" s="15" t="s">
        <v>122</v>
      </c>
      <c r="D12" s="26" t="s">
        <v>212</v>
      </c>
      <c r="E12" s="16" t="s">
        <v>9</v>
      </c>
      <c r="F12" s="16"/>
      <c r="G12" s="2" t="s">
        <v>206</v>
      </c>
      <c r="H12" s="5" t="s">
        <v>123</v>
      </c>
      <c r="I12" s="45">
        <v>100</v>
      </c>
      <c r="J12" s="46">
        <v>2</v>
      </c>
      <c r="K12" s="47">
        <f t="shared" si="0"/>
        <v>10</v>
      </c>
    </row>
    <row r="13" spans="1:11" ht="15.75" thickBot="1" x14ac:dyDescent="0.3">
      <c r="A13" s="14">
        <v>11</v>
      </c>
      <c r="B13" s="82" t="s">
        <v>21</v>
      </c>
      <c r="C13" s="11" t="s">
        <v>22</v>
      </c>
      <c r="D13" s="23" t="s">
        <v>23</v>
      </c>
      <c r="E13" s="8" t="s">
        <v>24</v>
      </c>
      <c r="F13" s="8"/>
      <c r="G13" s="10" t="s">
        <v>207</v>
      </c>
      <c r="H13" s="8" t="s">
        <v>116</v>
      </c>
      <c r="I13" s="9">
        <v>5</v>
      </c>
      <c r="J13" s="10">
        <v>2</v>
      </c>
      <c r="K13" s="9">
        <v>15</v>
      </c>
    </row>
    <row r="14" spans="1:11" ht="15.75" thickBot="1" x14ac:dyDescent="0.3">
      <c r="A14" s="14">
        <v>12</v>
      </c>
      <c r="B14" s="83"/>
      <c r="C14" s="12" t="s">
        <v>124</v>
      </c>
      <c r="D14" s="24" t="s">
        <v>25</v>
      </c>
      <c r="E14" s="2" t="s">
        <v>26</v>
      </c>
      <c r="F14" s="2"/>
      <c r="G14" s="4" t="s">
        <v>173</v>
      </c>
      <c r="H14" s="2" t="s">
        <v>116</v>
      </c>
      <c r="I14" s="3">
        <v>10</v>
      </c>
      <c r="J14" s="4">
        <v>1</v>
      </c>
      <c r="K14" s="3">
        <f t="shared" si="0"/>
        <v>5</v>
      </c>
    </row>
    <row r="15" spans="1:11" ht="15.75" thickBot="1" x14ac:dyDescent="0.3">
      <c r="A15" s="14">
        <v>13</v>
      </c>
      <c r="B15" s="83"/>
      <c r="C15" s="12" t="s">
        <v>27</v>
      </c>
      <c r="D15" s="24" t="s">
        <v>28</v>
      </c>
      <c r="E15" s="2" t="s">
        <v>29</v>
      </c>
      <c r="F15" s="2"/>
      <c r="G15" s="4" t="s">
        <v>174</v>
      </c>
      <c r="H15" s="2" t="s">
        <v>116</v>
      </c>
      <c r="I15" s="3">
        <v>50</v>
      </c>
      <c r="J15" s="4">
        <v>2</v>
      </c>
      <c r="K15" s="3">
        <f t="shared" si="0"/>
        <v>10</v>
      </c>
    </row>
    <row r="16" spans="1:11" ht="15.75" thickBot="1" x14ac:dyDescent="0.3">
      <c r="A16" s="14">
        <v>14</v>
      </c>
      <c r="B16" s="84"/>
      <c r="C16" s="13" t="s">
        <v>125</v>
      </c>
      <c r="D16" s="27" t="s">
        <v>126</v>
      </c>
      <c r="E16" s="5" t="s">
        <v>127</v>
      </c>
      <c r="F16" s="5"/>
      <c r="G16" s="6" t="s">
        <v>208</v>
      </c>
      <c r="H16" s="5" t="s">
        <v>116</v>
      </c>
      <c r="I16" s="45">
        <v>10</v>
      </c>
      <c r="J16" s="46">
        <v>1</v>
      </c>
      <c r="K16" s="47">
        <f t="shared" si="0"/>
        <v>5</v>
      </c>
    </row>
    <row r="17" spans="1:11" ht="15.75" thickBot="1" x14ac:dyDescent="0.3">
      <c r="A17" s="14">
        <v>15</v>
      </c>
      <c r="B17" s="81" t="s">
        <v>30</v>
      </c>
      <c r="C17" s="56" t="s">
        <v>31</v>
      </c>
      <c r="D17" s="57" t="s">
        <v>159</v>
      </c>
      <c r="E17" s="58" t="s">
        <v>117</v>
      </c>
      <c r="F17" s="58" t="s">
        <v>32</v>
      </c>
      <c r="G17" s="74" t="s">
        <v>209</v>
      </c>
      <c r="H17" s="58" t="s">
        <v>102</v>
      </c>
      <c r="I17" s="54">
        <v>5</v>
      </c>
      <c r="J17" s="59">
        <v>2</v>
      </c>
      <c r="K17" s="54">
        <f t="shared" si="0"/>
        <v>10</v>
      </c>
    </row>
    <row r="18" spans="1:11" ht="15.75" thickBot="1" x14ac:dyDescent="0.3">
      <c r="A18" s="14">
        <v>16</v>
      </c>
      <c r="B18" s="80"/>
      <c r="C18" s="60" t="s">
        <v>33</v>
      </c>
      <c r="D18" s="61" t="s">
        <v>34</v>
      </c>
      <c r="E18" s="62" t="s">
        <v>117</v>
      </c>
      <c r="F18" s="62" t="s">
        <v>35</v>
      </c>
      <c r="G18" s="74" t="s">
        <v>209</v>
      </c>
      <c r="H18" s="62" t="s">
        <v>103</v>
      </c>
      <c r="I18" s="64">
        <v>1</v>
      </c>
      <c r="J18" s="63">
        <v>1</v>
      </c>
      <c r="K18" s="64">
        <f t="shared" si="0"/>
        <v>5</v>
      </c>
    </row>
    <row r="19" spans="1:11" ht="15.75" thickBot="1" x14ac:dyDescent="0.3">
      <c r="A19" s="14">
        <v>17</v>
      </c>
      <c r="B19" s="77" t="s">
        <v>36</v>
      </c>
      <c r="C19" s="11" t="s">
        <v>37</v>
      </c>
      <c r="D19" s="23" t="s">
        <v>38</v>
      </c>
      <c r="E19" s="8" t="s">
        <v>121</v>
      </c>
      <c r="F19" s="8"/>
      <c r="G19" s="51" t="s">
        <v>175</v>
      </c>
      <c r="H19" s="44" t="s">
        <v>116</v>
      </c>
      <c r="I19" s="52">
        <v>50</v>
      </c>
      <c r="J19" s="51">
        <v>2</v>
      </c>
      <c r="K19" s="52">
        <f t="shared" si="0"/>
        <v>10</v>
      </c>
    </row>
    <row r="20" spans="1:11" ht="15.75" thickBot="1" x14ac:dyDescent="0.3">
      <c r="A20" s="14">
        <v>18</v>
      </c>
      <c r="B20" s="78"/>
      <c r="C20" s="12" t="s">
        <v>128</v>
      </c>
      <c r="D20" s="24" t="s">
        <v>129</v>
      </c>
      <c r="E20" s="2" t="s">
        <v>130</v>
      </c>
      <c r="F20" s="2"/>
      <c r="G20" s="4" t="s">
        <v>188</v>
      </c>
      <c r="H20" s="18" t="s">
        <v>116</v>
      </c>
      <c r="I20" s="18">
        <v>1</v>
      </c>
      <c r="J20" s="20">
        <v>1</v>
      </c>
      <c r="K20" s="19">
        <v>6</v>
      </c>
    </row>
    <row r="21" spans="1:11" ht="15.75" thickBot="1" x14ac:dyDescent="0.3">
      <c r="A21" s="14">
        <v>19</v>
      </c>
      <c r="B21" s="79"/>
      <c r="C21" s="13" t="s">
        <v>39</v>
      </c>
      <c r="D21" s="27" t="s">
        <v>40</v>
      </c>
      <c r="E21" s="5" t="s">
        <v>121</v>
      </c>
      <c r="F21" s="5"/>
      <c r="G21" s="53" t="s">
        <v>210</v>
      </c>
      <c r="H21" s="45" t="s">
        <v>116</v>
      </c>
      <c r="I21" s="47">
        <v>50</v>
      </c>
      <c r="J21" s="46">
        <v>1</v>
      </c>
      <c r="K21" s="47">
        <f t="shared" si="0"/>
        <v>5</v>
      </c>
    </row>
    <row r="22" spans="1:11" ht="15.75" thickBot="1" x14ac:dyDescent="0.3">
      <c r="A22" s="14">
        <v>20</v>
      </c>
      <c r="B22" s="77" t="s">
        <v>154</v>
      </c>
      <c r="C22" s="21" t="s">
        <v>41</v>
      </c>
      <c r="D22" s="23" t="s">
        <v>160</v>
      </c>
      <c r="E22" s="8" t="s">
        <v>42</v>
      </c>
      <c r="F22" s="8"/>
      <c r="G22" s="10" t="s">
        <v>176</v>
      </c>
      <c r="H22" s="8" t="s">
        <v>104</v>
      </c>
      <c r="I22" s="9">
        <v>10</v>
      </c>
      <c r="J22" s="10">
        <v>7</v>
      </c>
      <c r="K22" s="9">
        <v>40</v>
      </c>
    </row>
    <row r="23" spans="1:11" ht="15.75" thickBot="1" x14ac:dyDescent="0.3">
      <c r="A23" s="14">
        <v>21</v>
      </c>
      <c r="B23" s="78"/>
      <c r="C23" s="12" t="s">
        <v>43</v>
      </c>
      <c r="D23" s="24" t="s">
        <v>44</v>
      </c>
      <c r="E23" s="2" t="s">
        <v>42</v>
      </c>
      <c r="F23" s="2"/>
      <c r="G23" s="4" t="s">
        <v>177</v>
      </c>
      <c r="H23" s="2" t="s">
        <v>105</v>
      </c>
      <c r="I23" s="3">
        <v>100</v>
      </c>
      <c r="J23" s="4">
        <v>1</v>
      </c>
      <c r="K23" s="3">
        <f t="shared" si="0"/>
        <v>5</v>
      </c>
    </row>
    <row r="24" spans="1:11" ht="15.75" thickBot="1" x14ac:dyDescent="0.3">
      <c r="A24" s="14">
        <v>22</v>
      </c>
      <c r="B24" s="78"/>
      <c r="C24" s="12" t="s">
        <v>131</v>
      </c>
      <c r="D24" s="24" t="s">
        <v>132</v>
      </c>
      <c r="E24" s="2" t="s">
        <v>42</v>
      </c>
      <c r="F24" s="2"/>
      <c r="G24" s="4" t="s">
        <v>189</v>
      </c>
      <c r="H24" s="18" t="s">
        <v>133</v>
      </c>
      <c r="I24" s="18">
        <v>100</v>
      </c>
      <c r="J24" s="20">
        <v>1</v>
      </c>
      <c r="K24" s="19">
        <f t="shared" si="0"/>
        <v>5</v>
      </c>
    </row>
    <row r="25" spans="1:11" ht="15.75" thickBot="1" x14ac:dyDescent="0.3">
      <c r="A25" s="14">
        <v>23</v>
      </c>
      <c r="B25" s="78"/>
      <c r="C25" s="22" t="s">
        <v>136</v>
      </c>
      <c r="D25" s="24" t="s">
        <v>161</v>
      </c>
      <c r="E25" s="2" t="s">
        <v>42</v>
      </c>
      <c r="F25" s="2"/>
      <c r="G25" s="4" t="s">
        <v>192</v>
      </c>
      <c r="H25" s="2" t="s">
        <v>137</v>
      </c>
      <c r="I25" s="2">
        <v>20</v>
      </c>
      <c r="J25" s="4">
        <v>3</v>
      </c>
      <c r="K25" s="3">
        <f t="shared" si="0"/>
        <v>15</v>
      </c>
    </row>
    <row r="26" spans="1:11" ht="15.75" thickBot="1" x14ac:dyDescent="0.3">
      <c r="A26" s="14">
        <v>24</v>
      </c>
      <c r="B26" s="78"/>
      <c r="C26" s="12" t="s">
        <v>45</v>
      </c>
      <c r="D26" s="24" t="s">
        <v>134</v>
      </c>
      <c r="E26" s="2" t="s">
        <v>42</v>
      </c>
      <c r="F26" s="2"/>
      <c r="G26" s="4" t="s">
        <v>190</v>
      </c>
      <c r="H26" s="2" t="s">
        <v>106</v>
      </c>
      <c r="I26" s="2">
        <v>100</v>
      </c>
      <c r="J26" s="4">
        <v>1</v>
      </c>
      <c r="K26" s="3">
        <f t="shared" si="0"/>
        <v>5</v>
      </c>
    </row>
    <row r="27" spans="1:11" ht="15.75" thickBot="1" x14ac:dyDescent="0.3">
      <c r="A27" s="14">
        <v>25</v>
      </c>
      <c r="B27" s="78"/>
      <c r="C27" s="22" t="s">
        <v>46</v>
      </c>
      <c r="D27" s="24" t="s">
        <v>47</v>
      </c>
      <c r="E27" s="2" t="s">
        <v>42</v>
      </c>
      <c r="F27" s="2"/>
      <c r="G27" s="4" t="s">
        <v>191</v>
      </c>
      <c r="H27" s="2" t="s">
        <v>107</v>
      </c>
      <c r="I27" s="2">
        <v>20</v>
      </c>
      <c r="J27" s="4">
        <v>1</v>
      </c>
      <c r="K27" s="3">
        <f t="shared" si="0"/>
        <v>5</v>
      </c>
    </row>
    <row r="28" spans="1:11" ht="15.75" thickBot="1" x14ac:dyDescent="0.3">
      <c r="A28" s="14">
        <v>26</v>
      </c>
      <c r="B28" s="78"/>
      <c r="C28" s="12" t="s">
        <v>48</v>
      </c>
      <c r="D28" s="24" t="s">
        <v>49</v>
      </c>
      <c r="E28" s="2" t="s">
        <v>42</v>
      </c>
      <c r="F28" s="2"/>
      <c r="G28" s="4" t="s">
        <v>181</v>
      </c>
      <c r="H28" s="2" t="s">
        <v>108</v>
      </c>
      <c r="I28" s="3">
        <v>20</v>
      </c>
      <c r="J28" s="4">
        <v>3</v>
      </c>
      <c r="K28" s="3">
        <f t="shared" si="0"/>
        <v>15</v>
      </c>
    </row>
    <row r="29" spans="1:11" ht="15.75" thickBot="1" x14ac:dyDescent="0.3">
      <c r="A29" s="14">
        <v>27</v>
      </c>
      <c r="B29" s="78"/>
      <c r="C29" s="12" t="s">
        <v>50</v>
      </c>
      <c r="D29" s="24" t="s">
        <v>51</v>
      </c>
      <c r="E29" s="2" t="s">
        <v>42</v>
      </c>
      <c r="F29" s="2"/>
      <c r="G29" s="4" t="s">
        <v>180</v>
      </c>
      <c r="H29" s="2" t="s">
        <v>109</v>
      </c>
      <c r="I29" s="3">
        <v>100</v>
      </c>
      <c r="J29" s="4">
        <v>1</v>
      </c>
      <c r="K29" s="3">
        <f t="shared" si="0"/>
        <v>5</v>
      </c>
    </row>
    <row r="30" spans="1:11" ht="15.75" thickBot="1" x14ac:dyDescent="0.3">
      <c r="A30" s="14">
        <v>28</v>
      </c>
      <c r="B30" s="78"/>
      <c r="C30" s="12" t="s">
        <v>120</v>
      </c>
      <c r="D30" s="24" t="s">
        <v>52</v>
      </c>
      <c r="E30" s="2" t="s">
        <v>135</v>
      </c>
      <c r="F30" s="2"/>
      <c r="G30" s="4" t="s">
        <v>193</v>
      </c>
      <c r="H30" s="2" t="s">
        <v>110</v>
      </c>
      <c r="I30" s="2">
        <v>10</v>
      </c>
      <c r="J30" s="20">
        <v>1</v>
      </c>
      <c r="K30" s="19">
        <f t="shared" si="0"/>
        <v>5</v>
      </c>
    </row>
    <row r="31" spans="1:11" ht="15.75" thickBot="1" x14ac:dyDescent="0.3">
      <c r="A31" s="14">
        <v>29</v>
      </c>
      <c r="B31" s="78"/>
      <c r="C31" s="12" t="s">
        <v>53</v>
      </c>
      <c r="D31" s="24" t="s">
        <v>54</v>
      </c>
      <c r="E31" s="2" t="s">
        <v>42</v>
      </c>
      <c r="F31" s="2"/>
      <c r="G31" s="4" t="s">
        <v>178</v>
      </c>
      <c r="H31" s="2" t="s">
        <v>111</v>
      </c>
      <c r="I31" s="3">
        <v>100</v>
      </c>
      <c r="J31" s="4">
        <v>1</v>
      </c>
      <c r="K31" s="3">
        <f t="shared" si="0"/>
        <v>5</v>
      </c>
    </row>
    <row r="32" spans="1:11" ht="15.75" thickBot="1" x14ac:dyDescent="0.3">
      <c r="A32" s="14">
        <v>30</v>
      </c>
      <c r="B32" s="78"/>
      <c r="C32" s="12" t="s">
        <v>55</v>
      </c>
      <c r="D32" s="24" t="s">
        <v>56</v>
      </c>
      <c r="E32" s="2" t="s">
        <v>42</v>
      </c>
      <c r="F32" s="2"/>
      <c r="G32" s="4" t="s">
        <v>179</v>
      </c>
      <c r="H32" s="2" t="s">
        <v>112</v>
      </c>
      <c r="I32" s="3">
        <v>100</v>
      </c>
      <c r="J32" s="4">
        <v>1</v>
      </c>
      <c r="K32" s="3">
        <f t="shared" si="0"/>
        <v>5</v>
      </c>
    </row>
    <row r="33" spans="1:11" ht="15.75" thickBot="1" x14ac:dyDescent="0.3">
      <c r="A33" s="14">
        <v>31</v>
      </c>
      <c r="B33" s="78"/>
      <c r="C33" s="12" t="s">
        <v>57</v>
      </c>
      <c r="D33" s="24" t="s">
        <v>58</v>
      </c>
      <c r="E33" s="2" t="s">
        <v>42</v>
      </c>
      <c r="F33" s="2"/>
      <c r="G33" s="4" t="s">
        <v>215</v>
      </c>
      <c r="H33" s="2" t="s">
        <v>113</v>
      </c>
      <c r="I33" s="3">
        <v>100</v>
      </c>
      <c r="J33" s="4">
        <v>4</v>
      </c>
      <c r="K33" s="3">
        <f t="shared" si="0"/>
        <v>20</v>
      </c>
    </row>
    <row r="34" spans="1:11" ht="15.75" thickBot="1" x14ac:dyDescent="0.3">
      <c r="A34" s="14">
        <v>32</v>
      </c>
      <c r="B34" s="79"/>
      <c r="C34" s="13" t="s">
        <v>59</v>
      </c>
      <c r="D34" s="27" t="s">
        <v>60</v>
      </c>
      <c r="E34" s="5" t="s">
        <v>117</v>
      </c>
      <c r="F34" s="5" t="s">
        <v>61</v>
      </c>
      <c r="G34" s="6" t="s">
        <v>116</v>
      </c>
      <c r="H34" s="5" t="s">
        <v>104</v>
      </c>
      <c r="I34" s="7" t="s">
        <v>116</v>
      </c>
      <c r="J34" s="6">
        <v>1</v>
      </c>
      <c r="K34" s="7">
        <f t="shared" si="0"/>
        <v>5</v>
      </c>
    </row>
    <row r="35" spans="1:11" ht="15.75" thickBot="1" x14ac:dyDescent="0.3">
      <c r="A35" s="14">
        <v>33</v>
      </c>
      <c r="B35" s="49" t="s">
        <v>62</v>
      </c>
      <c r="C35" s="65" t="s">
        <v>138</v>
      </c>
      <c r="D35" s="66" t="s">
        <v>63</v>
      </c>
      <c r="E35" s="67" t="s">
        <v>117</v>
      </c>
      <c r="F35" s="67"/>
      <c r="G35" s="68" t="s">
        <v>194</v>
      </c>
      <c r="H35" s="67" t="s">
        <v>116</v>
      </c>
      <c r="I35" s="67">
        <v>1</v>
      </c>
      <c r="J35" s="68">
        <v>1</v>
      </c>
      <c r="K35" s="69">
        <f t="shared" si="0"/>
        <v>5</v>
      </c>
    </row>
    <row r="36" spans="1:11" ht="15.75" thickBot="1" x14ac:dyDescent="0.3">
      <c r="A36" s="14">
        <v>34</v>
      </c>
      <c r="B36" s="77" t="s">
        <v>64</v>
      </c>
      <c r="C36" s="40" t="s">
        <v>65</v>
      </c>
      <c r="D36" s="23" t="s">
        <v>66</v>
      </c>
      <c r="E36" s="23" t="s">
        <v>117</v>
      </c>
      <c r="F36" s="23"/>
      <c r="G36" s="10" t="s">
        <v>195</v>
      </c>
      <c r="H36" s="23" t="s">
        <v>116</v>
      </c>
      <c r="I36" s="23">
        <v>1</v>
      </c>
      <c r="J36" s="41">
        <v>1</v>
      </c>
      <c r="K36" s="41">
        <f t="shared" si="0"/>
        <v>5</v>
      </c>
    </row>
    <row r="37" spans="1:11" ht="15.75" thickBot="1" x14ac:dyDescent="0.3">
      <c r="A37" s="14">
        <v>35</v>
      </c>
      <c r="B37" s="78"/>
      <c r="C37" s="17" t="s">
        <v>67</v>
      </c>
      <c r="D37" s="25" t="s">
        <v>68</v>
      </c>
      <c r="E37" s="18" t="s">
        <v>69</v>
      </c>
      <c r="F37" s="18" t="s">
        <v>70</v>
      </c>
      <c r="G37" s="4" t="s">
        <v>116</v>
      </c>
      <c r="H37" s="18" t="s">
        <v>116</v>
      </c>
      <c r="I37" s="18" t="s">
        <v>116</v>
      </c>
      <c r="J37" s="20">
        <v>1</v>
      </c>
      <c r="K37" s="19">
        <f t="shared" si="0"/>
        <v>5</v>
      </c>
    </row>
    <row r="38" spans="1:11" ht="15.75" thickBot="1" x14ac:dyDescent="0.3">
      <c r="A38" s="14">
        <v>36</v>
      </c>
      <c r="B38" s="78"/>
      <c r="C38" s="12" t="s">
        <v>71</v>
      </c>
      <c r="D38" s="24" t="s">
        <v>72</v>
      </c>
      <c r="E38" s="2" t="s">
        <v>139</v>
      </c>
      <c r="F38" s="2" t="s">
        <v>73</v>
      </c>
      <c r="G38" s="1"/>
      <c r="H38" s="2" t="s">
        <v>116</v>
      </c>
      <c r="I38" s="2" t="s">
        <v>116</v>
      </c>
      <c r="J38" s="4">
        <v>1</v>
      </c>
      <c r="K38" s="3">
        <f t="shared" si="0"/>
        <v>5</v>
      </c>
    </row>
    <row r="39" spans="1:11" ht="15.75" thickBot="1" x14ac:dyDescent="0.3">
      <c r="A39" s="14">
        <v>37</v>
      </c>
      <c r="B39" s="78"/>
      <c r="C39" s="12" t="s">
        <v>140</v>
      </c>
      <c r="D39" s="24" t="s">
        <v>74</v>
      </c>
      <c r="E39" s="2" t="s">
        <v>141</v>
      </c>
      <c r="F39" s="2"/>
      <c r="G39" s="4" t="s">
        <v>196</v>
      </c>
      <c r="H39" s="2" t="s">
        <v>116</v>
      </c>
      <c r="I39" s="2">
        <v>1</v>
      </c>
      <c r="J39" s="4">
        <v>1</v>
      </c>
      <c r="K39" s="3">
        <f t="shared" si="0"/>
        <v>5</v>
      </c>
    </row>
    <row r="40" spans="1:11" ht="15.75" thickBot="1" x14ac:dyDescent="0.3">
      <c r="A40" s="14">
        <v>38</v>
      </c>
      <c r="B40" s="78"/>
      <c r="C40" s="12" t="s">
        <v>75</v>
      </c>
      <c r="D40" s="24" t="s">
        <v>76</v>
      </c>
      <c r="E40" s="2" t="s">
        <v>155</v>
      </c>
      <c r="F40" s="2"/>
      <c r="G40" s="43" t="s">
        <v>187</v>
      </c>
      <c r="H40" s="2" t="s">
        <v>116</v>
      </c>
      <c r="I40" s="2">
        <v>1</v>
      </c>
      <c r="J40" s="4">
        <v>1</v>
      </c>
      <c r="K40" s="3">
        <f t="shared" si="0"/>
        <v>5</v>
      </c>
    </row>
    <row r="41" spans="1:11" ht="15.75" thickBot="1" x14ac:dyDescent="0.3">
      <c r="A41" s="14">
        <v>39</v>
      </c>
      <c r="B41" s="78"/>
      <c r="C41" s="17" t="s">
        <v>77</v>
      </c>
      <c r="D41" s="25" t="s">
        <v>78</v>
      </c>
      <c r="E41" s="50" t="s">
        <v>198</v>
      </c>
      <c r="F41" s="18"/>
      <c r="G41" s="4" t="s">
        <v>197</v>
      </c>
      <c r="H41" s="18" t="s">
        <v>116</v>
      </c>
      <c r="I41" s="18">
        <v>1</v>
      </c>
      <c r="J41" s="20">
        <v>1</v>
      </c>
      <c r="K41" s="19">
        <f t="shared" si="0"/>
        <v>5</v>
      </c>
    </row>
    <row r="42" spans="1:11" ht="15.75" thickBot="1" x14ac:dyDescent="0.3">
      <c r="A42" s="14">
        <v>40</v>
      </c>
      <c r="B42" s="78"/>
      <c r="C42" s="12" t="s">
        <v>79</v>
      </c>
      <c r="D42" s="25" t="s">
        <v>142</v>
      </c>
      <c r="E42" s="2" t="s">
        <v>80</v>
      </c>
      <c r="F42" s="2"/>
      <c r="G42" s="4" t="s">
        <v>186</v>
      </c>
      <c r="H42" s="2" t="s">
        <v>116</v>
      </c>
      <c r="I42" s="2">
        <v>1</v>
      </c>
      <c r="J42" s="4">
        <v>5</v>
      </c>
      <c r="K42" s="3">
        <f t="shared" si="0"/>
        <v>25</v>
      </c>
    </row>
    <row r="43" spans="1:11" ht="15.75" thickBot="1" x14ac:dyDescent="0.3">
      <c r="A43" s="14">
        <v>41</v>
      </c>
      <c r="B43" s="78"/>
      <c r="C43" s="12" t="s">
        <v>143</v>
      </c>
      <c r="D43" s="25" t="s">
        <v>144</v>
      </c>
      <c r="E43" s="2" t="s">
        <v>145</v>
      </c>
      <c r="F43" s="2"/>
      <c r="G43" s="4" t="s">
        <v>199</v>
      </c>
      <c r="H43" s="18" t="s">
        <v>116</v>
      </c>
      <c r="I43" s="18">
        <v>1</v>
      </c>
      <c r="J43" s="20">
        <v>1</v>
      </c>
      <c r="K43" s="19">
        <f t="shared" si="0"/>
        <v>5</v>
      </c>
    </row>
    <row r="44" spans="1:11" ht="15.75" thickBot="1" x14ac:dyDescent="0.3">
      <c r="A44" s="14">
        <v>42</v>
      </c>
      <c r="B44" s="78"/>
      <c r="C44" s="12" t="s">
        <v>146</v>
      </c>
      <c r="D44" s="25" t="s">
        <v>147</v>
      </c>
      <c r="E44" s="2" t="s">
        <v>148</v>
      </c>
      <c r="F44" s="2" t="s">
        <v>149</v>
      </c>
      <c r="G44" s="4" t="s">
        <v>116</v>
      </c>
      <c r="H44" s="2"/>
      <c r="I44" s="2" t="s">
        <v>116</v>
      </c>
      <c r="J44" s="4">
        <v>1</v>
      </c>
      <c r="K44" s="3">
        <f t="shared" si="0"/>
        <v>5</v>
      </c>
    </row>
    <row r="45" spans="1:11" ht="15.75" thickBot="1" x14ac:dyDescent="0.3">
      <c r="A45" s="14">
        <v>43</v>
      </c>
      <c r="B45" s="79"/>
      <c r="C45" s="13" t="s">
        <v>146</v>
      </c>
      <c r="D45" s="27" t="s">
        <v>81</v>
      </c>
      <c r="E45" s="5" t="s">
        <v>156</v>
      </c>
      <c r="F45" s="5" t="s">
        <v>82</v>
      </c>
      <c r="G45" s="6" t="s">
        <v>116</v>
      </c>
      <c r="H45" s="5" t="s">
        <v>116</v>
      </c>
      <c r="I45" s="5" t="s">
        <v>116</v>
      </c>
      <c r="J45" s="6">
        <v>1</v>
      </c>
      <c r="K45" s="7">
        <f t="shared" si="0"/>
        <v>5</v>
      </c>
    </row>
    <row r="46" spans="1:11" ht="15.75" thickBot="1" x14ac:dyDescent="0.3">
      <c r="A46" s="14">
        <v>44</v>
      </c>
      <c r="B46" s="77" t="s">
        <v>83</v>
      </c>
      <c r="C46" s="11" t="s">
        <v>151</v>
      </c>
      <c r="D46" s="23" t="s">
        <v>150</v>
      </c>
      <c r="E46" s="8" t="s">
        <v>117</v>
      </c>
      <c r="F46" s="8"/>
      <c r="G46" s="48" t="s">
        <v>182</v>
      </c>
      <c r="H46" s="8" t="s">
        <v>116</v>
      </c>
      <c r="I46" s="9">
        <v>20</v>
      </c>
      <c r="J46" s="10">
        <v>8</v>
      </c>
      <c r="K46" s="9">
        <f t="shared" ref="K46:K52" si="1">J46*5</f>
        <v>40</v>
      </c>
    </row>
    <row r="47" spans="1:11" ht="15.75" thickBot="1" x14ac:dyDescent="0.3">
      <c r="A47" s="14">
        <v>45</v>
      </c>
      <c r="B47" s="78"/>
      <c r="C47" s="12" t="s">
        <v>84</v>
      </c>
      <c r="D47" s="24" t="s">
        <v>85</v>
      </c>
      <c r="E47" s="2" t="s">
        <v>117</v>
      </c>
      <c r="F47" s="2" t="s">
        <v>86</v>
      </c>
      <c r="G47" s="43" t="s">
        <v>214</v>
      </c>
      <c r="H47" s="2" t="s">
        <v>116</v>
      </c>
      <c r="I47" s="3">
        <v>1</v>
      </c>
      <c r="J47" s="4">
        <v>3</v>
      </c>
      <c r="K47" s="3">
        <f t="shared" si="1"/>
        <v>15</v>
      </c>
    </row>
    <row r="48" spans="1:11" ht="15.75" thickBot="1" x14ac:dyDescent="0.3">
      <c r="A48" s="14">
        <v>46</v>
      </c>
      <c r="B48" s="78"/>
      <c r="C48" s="12" t="s">
        <v>87</v>
      </c>
      <c r="D48" s="24" t="s">
        <v>152</v>
      </c>
      <c r="E48" s="2" t="s">
        <v>117</v>
      </c>
      <c r="F48" s="2"/>
      <c r="G48" s="4" t="s">
        <v>183</v>
      </c>
      <c r="H48" s="2" t="s">
        <v>116</v>
      </c>
      <c r="I48" s="3">
        <v>10</v>
      </c>
      <c r="J48" s="4">
        <v>5</v>
      </c>
      <c r="K48" s="3">
        <v>30</v>
      </c>
    </row>
    <row r="49" spans="1:11" ht="15.75" thickBot="1" x14ac:dyDescent="0.3">
      <c r="A49" s="14">
        <v>47</v>
      </c>
      <c r="B49" s="78"/>
      <c r="C49" s="12" t="s">
        <v>88</v>
      </c>
      <c r="D49" s="24" t="s">
        <v>89</v>
      </c>
      <c r="E49" s="2" t="s">
        <v>117</v>
      </c>
      <c r="F49" s="2"/>
      <c r="G49" s="43" t="s">
        <v>184</v>
      </c>
      <c r="H49" s="2" t="s">
        <v>116</v>
      </c>
      <c r="I49" s="3">
        <v>5</v>
      </c>
      <c r="J49" s="4">
        <v>2</v>
      </c>
      <c r="K49" s="3">
        <f t="shared" si="1"/>
        <v>10</v>
      </c>
    </row>
    <row r="50" spans="1:11" ht="15.75" thickBot="1" x14ac:dyDescent="0.3">
      <c r="A50" s="14">
        <v>48</v>
      </c>
      <c r="B50" s="78"/>
      <c r="C50" s="12" t="s">
        <v>90</v>
      </c>
      <c r="D50" s="24" t="s">
        <v>91</v>
      </c>
      <c r="E50" s="2" t="s">
        <v>117</v>
      </c>
      <c r="F50" s="2"/>
      <c r="G50" s="4" t="s">
        <v>185</v>
      </c>
      <c r="H50" s="2" t="s">
        <v>116</v>
      </c>
      <c r="I50" s="3">
        <v>1</v>
      </c>
      <c r="J50" s="4">
        <v>1</v>
      </c>
      <c r="K50" s="3">
        <f t="shared" si="1"/>
        <v>5</v>
      </c>
    </row>
    <row r="51" spans="1:11" ht="15.75" thickBot="1" x14ac:dyDescent="0.3">
      <c r="A51" s="14">
        <v>49</v>
      </c>
      <c r="B51" s="80"/>
      <c r="C51" s="39" t="s">
        <v>162</v>
      </c>
      <c r="D51" s="35" t="s">
        <v>163</v>
      </c>
      <c r="E51" s="35" t="s">
        <v>117</v>
      </c>
      <c r="F51" s="36" t="s">
        <v>164</v>
      </c>
      <c r="G51" s="37"/>
      <c r="H51" s="37" t="s">
        <v>118</v>
      </c>
      <c r="I51" s="37"/>
      <c r="J51" s="38">
        <v>1</v>
      </c>
      <c r="K51" s="38">
        <f t="shared" si="1"/>
        <v>5</v>
      </c>
    </row>
    <row r="52" spans="1:11" ht="15.75" thickBot="1" x14ac:dyDescent="0.3">
      <c r="A52" s="14">
        <v>50</v>
      </c>
      <c r="B52" s="79"/>
      <c r="C52" s="30" t="s">
        <v>92</v>
      </c>
      <c r="D52" s="31" t="s">
        <v>93</v>
      </c>
      <c r="E52" s="31" t="s">
        <v>117</v>
      </c>
      <c r="F52" s="32" t="s">
        <v>114</v>
      </c>
      <c r="G52" s="33"/>
      <c r="H52" s="33" t="s">
        <v>118</v>
      </c>
      <c r="I52" s="33"/>
      <c r="J52" s="34">
        <v>4</v>
      </c>
      <c r="K52" s="34">
        <f t="shared" si="1"/>
        <v>20</v>
      </c>
    </row>
  </sheetData>
  <mergeCells count="8">
    <mergeCell ref="A1:K1"/>
    <mergeCell ref="B36:B45"/>
    <mergeCell ref="B46:B52"/>
    <mergeCell ref="B17:B18"/>
    <mergeCell ref="B19:B21"/>
    <mergeCell ref="B22:B34"/>
    <mergeCell ref="B3:B12"/>
    <mergeCell ref="B13:B16"/>
  </mergeCells>
  <conditionalFormatting sqref="J3:K50 J52:K5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:K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2021-04-15T08:46:21Z</dcterms:created>
  <dcterms:modified xsi:type="dcterms:W3CDTF">2021-06-03T00:18:28Z</dcterms:modified>
</cp:coreProperties>
</file>