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park Group\Downloads\FranciscoG\FranciscoG\Documents\Deliverables_PB\BOM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<sst xmlns="http://schemas.openxmlformats.org/spreadsheetml/2006/main" count="80" uniqueCount="68">
  <si>
    <t>S. No.</t>
  </si>
  <si>
    <t>Components</t>
  </si>
  <si>
    <t>Description</t>
  </si>
  <si>
    <t>Designator</t>
  </si>
  <si>
    <t>Footprint (Package)</t>
  </si>
  <si>
    <t>Value</t>
  </si>
  <si>
    <t>Quantity (Per Board)</t>
  </si>
  <si>
    <t>Quantity 5</t>
  </si>
  <si>
    <t>CAP CER 4.7UF 25V X5R 0603</t>
  </si>
  <si>
    <t>Diode</t>
  </si>
  <si>
    <t>LED 0402</t>
  </si>
  <si>
    <t>R5</t>
  </si>
  <si>
    <t>U1</t>
  </si>
  <si>
    <t>CONN RCP USB3.1 TYPEC 24P SMD RA</t>
  </si>
  <si>
    <t>Test Point ON</t>
  </si>
  <si>
    <t>0.1uF</t>
  </si>
  <si>
    <t>4.7uF</t>
  </si>
  <si>
    <t>5.1K</t>
  </si>
  <si>
    <t>Custom</t>
  </si>
  <si>
    <t>Capacitors</t>
  </si>
  <si>
    <t xml:space="preserve">LCSC Part No </t>
  </si>
  <si>
    <t>C69335</t>
  </si>
  <si>
    <t>C498674</t>
  </si>
  <si>
    <t>C1, C4, C5</t>
  </si>
  <si>
    <t>Cap0603</t>
  </si>
  <si>
    <t>CAP CER 0.1UF 25V X6S 0201</t>
  </si>
  <si>
    <t>C2, C3, C6</t>
  </si>
  <si>
    <t>CAP 0201</t>
  </si>
  <si>
    <t xml:space="preserve">TVS DIODE 5.5V 8.5V SOT143-4
</t>
  </si>
  <si>
    <t>D1</t>
  </si>
  <si>
    <t>SOT-143-4</t>
  </si>
  <si>
    <t>LED BLUE CLEAR CHIP SMD 0402</t>
  </si>
  <si>
    <t>LED1, LED2</t>
  </si>
  <si>
    <t>RES 1K OHM 1% 1/20W 0201</t>
  </si>
  <si>
    <t>R1</t>
  </si>
  <si>
    <t>Res-0201</t>
  </si>
  <si>
    <t>RES SMD 470 OHM 5% 1/20W 0201</t>
  </si>
  <si>
    <t>R2, R3</t>
  </si>
  <si>
    <t>RES 22.1K OHM 1% 1/20W 0201</t>
  </si>
  <si>
    <t>R4</t>
  </si>
  <si>
    <t>RES 47.5K OHM 1% 1/20W 0201</t>
  </si>
  <si>
    <t>RES 5.1K OHM 0.1% 1/20W 0201</t>
  </si>
  <si>
    <t>R6, R7</t>
  </si>
  <si>
    <t>IC USB TO UART BRIDGE QFN28</t>
  </si>
  <si>
    <t>28-QFN (5x5)</t>
  </si>
  <si>
    <t>J1</t>
  </si>
  <si>
    <t>CONN RCPT USB2.0 MICRO B SMD R/A</t>
  </si>
  <si>
    <t>J2</t>
  </si>
  <si>
    <t>P1, P2, P3, P4, P5, P6</t>
  </si>
  <si>
    <t>-----</t>
  </si>
  <si>
    <t>1K</t>
  </si>
  <si>
    <t>470R</t>
  </si>
  <si>
    <t>22.1K</t>
  </si>
  <si>
    <t>47.5K</t>
  </si>
  <si>
    <t>C76939</t>
  </si>
  <si>
    <t>C7074</t>
  </si>
  <si>
    <t>C163491</t>
  </si>
  <si>
    <t>C142019</t>
  </si>
  <si>
    <t>C166179</t>
  </si>
  <si>
    <t>C102734</t>
  </si>
  <si>
    <t>IC</t>
  </si>
  <si>
    <t>Resistor</t>
  </si>
  <si>
    <t>Connector</t>
  </si>
  <si>
    <t>C273603</t>
  </si>
  <si>
    <t>C138165</t>
  </si>
  <si>
    <t>Bill of Material (BOM) for  Francisco Gimenez (PB)</t>
  </si>
  <si>
    <t>C132563</t>
  </si>
  <si>
    <t xml:space="preserve">C964632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</si>
</sst>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00"/>
  </numFmts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left" vertical="top" wrapText="1"/>
    </xf>
    <xf numFmtId="0" fontId="4" fillId="3" borderId="15" xfId="0" quotePrefix="1" applyFont="1" applyFill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/>
    </xf>
    <xf numFmtId="0" fontId="2" fillId="0" borderId="7" xfId="0" quotePrefix="1" applyFont="1" applyBorder="1" applyAlignment="1">
      <alignment vertical="center"/>
    </xf>
    <xf numFmtId="0" fontId="2" fillId="0" borderId="7" xfId="0" quotePrefix="1" applyFont="1" applyBorder="1" applyAlignment="1">
      <alignment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vertical="center" wrapText="1"/>
    </xf>
    <xf numFmtId="0" fontId="2" fillId="0" borderId="18" xfId="0" quotePrefix="1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0" xfId="0" applyAlignment="1"/>
    <xf numFmtId="0" fontId="6" fillId="0" borderId="11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4" fontId="4" fillId="3" borderId="15" xfId="0" quotePrefix="1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zoomScale="115" zoomScaleNormal="115" workbookViewId="0">
      <selection activeCell="D21" sqref="D21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30.85546875" bestFit="1" customWidth="1"/>
    <col min="4" max="4" width="17.85546875" bestFit="1" customWidth="1"/>
    <col min="5" max="5" width="20.28515625" bestFit="1" customWidth="1"/>
    <col min="6" max="6" width="16" bestFit="1" customWidth="1"/>
    <col min="7" max="7" width="6.140625" bestFit="1" customWidth="1"/>
    <col min="8" max="8" width="19.42578125" bestFit="1" customWidth="1"/>
    <col min="9" max="9" width="10.140625" bestFit="1" customWidth="1"/>
  </cols>
  <sheetData>
    <row r="1" spans="1:9" ht="16.5" thickBot="1" x14ac:dyDescent="0.3">
      <c r="A1" s="41" t="s">
        <v>65</v>
      </c>
      <c r="B1" s="42"/>
      <c r="C1" s="42"/>
      <c r="D1" s="42"/>
      <c r="E1" s="42"/>
      <c r="F1" s="42"/>
      <c r="G1" s="42"/>
      <c r="H1" s="42"/>
      <c r="I1" s="42"/>
    </row>
    <row r="2" spans="1:9" ht="15.75" thickBot="1" x14ac:dyDescent="0.3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20</v>
      </c>
      <c r="G2" s="14" t="s">
        <v>5</v>
      </c>
      <c r="H2" s="14" t="s">
        <v>6</v>
      </c>
      <c r="I2" s="14" t="s">
        <v>7</v>
      </c>
    </row>
    <row r="3" spans="1:9" ht="15.75" thickBot="1" x14ac:dyDescent="0.3">
      <c r="A3" s="10">
        <v>1</v>
      </c>
      <c r="B3" s="43" t="s">
        <v>19</v>
      </c>
      <c r="C3" s="19" t="s">
        <v>8</v>
      </c>
      <c r="D3" s="20" t="s">
        <v>23</v>
      </c>
      <c r="E3" s="20" t="s">
        <v>24</v>
      </c>
      <c r="F3" s="18" t="s">
        <v>21</v>
      </c>
      <c r="G3" s="20" t="s">
        <v>16</v>
      </c>
      <c r="H3" s="30">
        <v>3</v>
      </c>
      <c r="I3" s="8">
        <f>H3*5</f>
        <v>15</v>
      </c>
    </row>
    <row r="4" spans="1:9" ht="15.75" thickBot="1" x14ac:dyDescent="0.3">
      <c r="A4" s="10">
        <v>2</v>
      </c>
      <c r="B4" s="44"/>
      <c r="C4" s="21" t="s">
        <v>25</v>
      </c>
      <c r="D4" s="22" t="s">
        <v>26</v>
      </c>
      <c r="E4" s="22" t="s">
        <v>27</v>
      </c>
      <c r="F4" s="4" t="s">
        <v>54</v>
      </c>
      <c r="G4" s="22" t="s">
        <v>15</v>
      </c>
      <c r="H4" s="31">
        <v>3</v>
      </c>
      <c r="I4" s="6">
        <f t="shared" ref="I4:I15" si="0">H4*5</f>
        <v>15</v>
      </c>
    </row>
    <row r="5" spans="1:9" ht="15.75" thickBot="1" x14ac:dyDescent="0.3">
      <c r="A5" s="10">
        <v>3</v>
      </c>
      <c r="B5" s="43" t="s">
        <v>9</v>
      </c>
      <c r="C5" s="23" t="s">
        <v>28</v>
      </c>
      <c r="D5" s="20" t="s">
        <v>29</v>
      </c>
      <c r="E5" s="20" t="s">
        <v>30</v>
      </c>
      <c r="F5" s="7" t="s">
        <v>55</v>
      </c>
      <c r="G5" s="7" t="s">
        <v>49</v>
      </c>
      <c r="H5" s="9">
        <v>1</v>
      </c>
      <c r="I5" s="8">
        <f t="shared" si="0"/>
        <v>5</v>
      </c>
    </row>
    <row r="6" spans="1:9" ht="15.75" thickBot="1" x14ac:dyDescent="0.3">
      <c r="A6" s="10">
        <v>4</v>
      </c>
      <c r="B6" s="44"/>
      <c r="C6" s="21" t="s">
        <v>31</v>
      </c>
      <c r="D6" s="22" t="s">
        <v>32</v>
      </c>
      <c r="E6" s="22" t="s">
        <v>10</v>
      </c>
      <c r="F6" s="4" t="s">
        <v>63</v>
      </c>
      <c r="G6" s="4" t="s">
        <v>49</v>
      </c>
      <c r="H6" s="5">
        <v>2</v>
      </c>
      <c r="I6" s="6">
        <f t="shared" si="0"/>
        <v>10</v>
      </c>
    </row>
    <row r="7" spans="1:9" ht="15.75" thickBot="1" x14ac:dyDescent="0.3">
      <c r="A7" s="10">
        <v>5</v>
      </c>
      <c r="B7" s="43" t="s">
        <v>61</v>
      </c>
      <c r="C7" s="19" t="s">
        <v>33</v>
      </c>
      <c r="D7" s="20" t="s">
        <v>34</v>
      </c>
      <c r="E7" s="20" t="s">
        <v>35</v>
      </c>
      <c r="F7" s="7" t="s">
        <v>64</v>
      </c>
      <c r="G7" s="20" t="s">
        <v>50</v>
      </c>
      <c r="H7" s="30">
        <v>1</v>
      </c>
      <c r="I7" s="8">
        <f t="shared" si="0"/>
        <v>5</v>
      </c>
    </row>
    <row r="8" spans="1:9" ht="15.75" thickBot="1" x14ac:dyDescent="0.3">
      <c r="A8" s="10">
        <v>6</v>
      </c>
      <c r="B8" s="45"/>
      <c r="C8" s="24" t="s">
        <v>36</v>
      </c>
      <c r="D8" s="12" t="s">
        <v>37</v>
      </c>
      <c r="E8" s="12" t="s">
        <v>35</v>
      </c>
      <c r="F8" s="1" t="s">
        <v>56</v>
      </c>
      <c r="G8" s="12" t="s">
        <v>51</v>
      </c>
      <c r="H8" s="2">
        <v>2</v>
      </c>
      <c r="I8" s="2">
        <f t="shared" si="0"/>
        <v>10</v>
      </c>
    </row>
    <row r="9" spans="1:9" ht="15.75" thickBot="1" x14ac:dyDescent="0.3">
      <c r="A9" s="10">
        <v>7</v>
      </c>
      <c r="B9" s="45"/>
      <c r="C9" s="25" t="s">
        <v>38</v>
      </c>
      <c r="D9" s="26" t="s">
        <v>39</v>
      </c>
      <c r="E9" s="26" t="s">
        <v>35</v>
      </c>
      <c r="F9" s="1" t="s">
        <v>57</v>
      </c>
      <c r="G9" s="26" t="s">
        <v>52</v>
      </c>
      <c r="H9" s="32">
        <v>1</v>
      </c>
      <c r="I9" s="2">
        <f t="shared" si="0"/>
        <v>5</v>
      </c>
    </row>
    <row r="10" spans="1:9" ht="15.75" thickBot="1" x14ac:dyDescent="0.3">
      <c r="A10" s="10">
        <v>8</v>
      </c>
      <c r="B10" s="45"/>
      <c r="C10" s="25" t="s">
        <v>40</v>
      </c>
      <c r="D10" s="26" t="s">
        <v>11</v>
      </c>
      <c r="E10" s="26" t="s">
        <v>35</v>
      </c>
      <c r="F10" s="1" t="s">
        <v>58</v>
      </c>
      <c r="G10" s="26" t="s">
        <v>53</v>
      </c>
      <c r="H10" s="32">
        <v>1</v>
      </c>
      <c r="I10" s="2">
        <f t="shared" si="0"/>
        <v>5</v>
      </c>
    </row>
    <row r="11" spans="1:9" ht="15.75" thickBot="1" x14ac:dyDescent="0.3">
      <c r="A11" s="10">
        <v>9</v>
      </c>
      <c r="B11" s="44"/>
      <c r="C11" s="21" t="s">
        <v>41</v>
      </c>
      <c r="D11" s="22" t="s">
        <v>42</v>
      </c>
      <c r="E11" s="22" t="s">
        <v>35</v>
      </c>
      <c r="F11" s="4" t="s">
        <v>59</v>
      </c>
      <c r="G11" s="22" t="s">
        <v>17</v>
      </c>
      <c r="H11" s="31">
        <v>2</v>
      </c>
      <c r="I11" s="6">
        <f t="shared" si="0"/>
        <v>10</v>
      </c>
    </row>
    <row r="12" spans="1:9" ht="15.75" thickBot="1" x14ac:dyDescent="0.3">
      <c r="A12" s="35">
        <v>10</v>
      </c>
      <c r="B12" s="37" t="s">
        <v>60</v>
      </c>
      <c r="C12" s="27" t="s">
        <v>43</v>
      </c>
      <c r="D12" s="28" t="s">
        <v>12</v>
      </c>
      <c r="E12" s="28" t="s">
        <v>44</v>
      </c>
      <c r="F12" s="33" t="s">
        <v>67</v>
      </c>
      <c r="G12" s="29" t="s">
        <v>49</v>
      </c>
      <c r="H12" s="33">
        <v>1</v>
      </c>
      <c r="I12" s="34">
        <f t="shared" si="0"/>
        <v>5</v>
      </c>
    </row>
    <row r="13" spans="1:9" ht="15.75" thickBot="1" x14ac:dyDescent="0.3">
      <c r="A13" s="10">
        <v>11</v>
      </c>
      <c r="B13" s="43" t="s">
        <v>62</v>
      </c>
      <c r="C13" s="23" t="s">
        <v>13</v>
      </c>
      <c r="D13" s="11" t="s">
        <v>45</v>
      </c>
      <c r="E13" s="11" t="s">
        <v>18</v>
      </c>
      <c r="F13" s="38" t="s">
        <v>22</v>
      </c>
      <c r="G13" s="7" t="s">
        <v>49</v>
      </c>
      <c r="H13" s="9">
        <v>1</v>
      </c>
      <c r="I13" s="8">
        <f t="shared" si="0"/>
        <v>5</v>
      </c>
    </row>
    <row r="14" spans="1:9" s="36" customFormat="1" ht="15.75" thickBot="1" x14ac:dyDescent="0.3">
      <c r="A14" s="10">
        <v>12</v>
      </c>
      <c r="B14" s="45"/>
      <c r="C14" s="24" t="s">
        <v>46</v>
      </c>
      <c r="D14" s="12" t="s">
        <v>47</v>
      </c>
      <c r="E14" s="12" t="s">
        <v>18</v>
      </c>
      <c r="F14" s="3" t="s">
        <v>66</v>
      </c>
      <c r="G14" s="1" t="s">
        <v>49</v>
      </c>
      <c r="H14" s="3">
        <v>1</v>
      </c>
      <c r="I14" s="2">
        <f t="shared" si="0"/>
        <v>5</v>
      </c>
    </row>
    <row r="15" spans="1:9" ht="15.75" thickBot="1" x14ac:dyDescent="0.3">
      <c r="A15" s="39">
        <v>13</v>
      </c>
      <c r="B15" s="44"/>
      <c r="C15" s="15" t="s">
        <v>14</v>
      </c>
      <c r="D15" s="16" t="s">
        <v>48</v>
      </c>
      <c r="E15" s="16" t="s">
        <v>18</v>
      </c>
      <c r="F15" s="17" t="s">
        <v>49</v>
      </c>
      <c r="G15" s="17" t="s">
        <v>49</v>
      </c>
      <c r="H15" s="17">
        <v>6</v>
      </c>
      <c r="I15" s="40">
        <f t="shared" si="0"/>
        <v>30</v>
      </c>
    </row>
    <row r="50" ht="19.5" customHeight="1" x14ac:dyDescent="0.25"/>
    <row r="51" ht="18.75" customHeight="1" x14ac:dyDescent="0.25"/>
  </sheetData>
  <mergeCells count="5">
    <mergeCell ref="A1:I1"/>
    <mergeCell ref="B3:B4"/>
    <mergeCell ref="B5:B6"/>
    <mergeCell ref="B7:B11"/>
    <mergeCell ref="B13:B15"/>
  </mergeCells>
  <conditionalFormatting sqref="H3:I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 Group</cp:lastModifiedBy>
  <dcterms:created xsi:type="dcterms:W3CDTF">2021-04-15T08:46:21Z</dcterms:created>
  <dcterms:modified xsi:type="dcterms:W3CDTF">2021-06-02T23:16:57Z</dcterms:modified>
</cp:coreProperties>
</file>